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Katalog" sheetId="2" state="visible" r:id="rId2"/>
    <sheet xmlns:r="http://schemas.openxmlformats.org/officeDocument/2006/relationships" name="Aplikasi" sheetId="3" state="visible" r:id="rId3"/>
    <sheet xmlns:r="http://schemas.openxmlformats.org/officeDocument/2006/relationships" name="Referensi" sheetId="4" state="visible" r:id="rId4"/>
  </sheets>
  <definedNames>
    <definedName name="_xlnm._FilterDatabase" localSheetId="1" hidden="1">'Katalog'!$A$1:$Q$400</definedName>
    <definedName name="_xlnm.Print_Titles" localSheetId="1">'Katalog'!$1:$1</definedName>
    <definedName name="_xlnm._FilterDatabase" localSheetId="2" hidden="1">'Aplikasi'!$A$1:$D$151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p&quot;#,##0"/>
    <numFmt numFmtId="165" formatCode="0.0%"/>
    <numFmt numFmtId="166" formatCode="&quot;+Rp&quot;#,##0;&quot;-Rp&quot;#,##0;&quot;–&quot;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595959"/>
      <sz val="10"/>
    </font>
    <font>
      <name val="Arial"/>
      <color rgb="00000000"/>
      <sz val="10"/>
    </font>
    <font>
      <name val="Arial"/>
      <color rgb="007F7F7F"/>
      <sz val="9"/>
    </font>
    <font>
      <name val="Arial"/>
      <i val="1"/>
      <color rgb="007F7F7F"/>
      <sz val="10"/>
    </font>
    <font>
      <name val="Arial"/>
      <sz val="10"/>
    </font>
    <font>
      <name val="Arial"/>
      <i val="1"/>
      <color rgb="007F7F7F"/>
      <sz val="9"/>
    </font>
    <font>
      <name val="Arial"/>
      <b val="1"/>
      <color rgb="007A1F2B"/>
      <sz val="16"/>
    </font>
    <font>
      <name val="Arial"/>
      <color rgb="00262626"/>
      <sz val="10"/>
    </font>
    <font>
      <name val="Arial"/>
      <b val="1"/>
      <color rgb="007A1F2B"/>
      <sz val="11"/>
    </font>
    <font>
      <name val="Arial"/>
      <b val="1"/>
      <color rgb="007A1F2B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b val="1"/>
      <color rgb="007F6000"/>
      <sz val="10"/>
    </font>
    <font>
      <name val="Arial"/>
      <b val="1"/>
      <color rgb="00843C0C"/>
      <sz val="10"/>
    </font>
    <font>
      <name val="Arial"/>
      <color rgb="001F4E79"/>
      <sz val="10"/>
    </font>
    <font>
      <name val="Arial"/>
      <b val="1"/>
      <color rgb="00006100"/>
      <sz val="10"/>
    </font>
    <font>
      <name val="Arial"/>
      <color rgb="007F7F7F"/>
      <sz val="10"/>
    </font>
  </fonts>
  <fills count="12">
    <fill>
      <patternFill/>
    </fill>
    <fill>
      <patternFill patternType="gray125"/>
    </fill>
    <fill>
      <patternFill patternType="solid">
        <fgColor rgb="007A1F2B"/>
      </patternFill>
    </fill>
    <fill>
      <patternFill patternType="solid">
        <fgColor rgb="00EFEFEF"/>
      </patternFill>
    </fill>
    <fill>
      <patternFill patternType="solid">
        <fgColor rgb="00FFFFFF"/>
      </patternFill>
    </fill>
    <fill>
      <patternFill patternType="solid">
        <fgColor rgb="00FFF6D5"/>
      </patternFill>
    </fill>
    <fill>
      <patternFill patternType="solid">
        <fgColor rgb="00C00000"/>
        <bgColor rgb="00C00000"/>
      </patternFill>
    </fill>
    <fill>
      <patternFill patternType="solid">
        <fgColor rgb="00FFD966"/>
        <bgColor rgb="00FFD966"/>
      </patternFill>
    </fill>
    <fill>
      <patternFill patternType="solid">
        <fgColor rgb="00F4B183"/>
        <bgColor rgb="00F4B183"/>
      </patternFill>
    </fill>
    <fill>
      <patternFill patternType="solid">
        <fgColor rgb="00DDEBF7"/>
        <bgColor rgb="00DDEBF7"/>
      </patternFill>
    </fill>
    <fill>
      <patternFill patternType="solid">
        <fgColor rgb="00C6EFCE"/>
        <bgColor rgb="00C6EFCE"/>
      </patternFill>
    </fill>
    <fill>
      <patternFill patternType="solid">
        <fgColor rgb="00EFEFEF"/>
        <bgColor rgb="00EFEFEF"/>
      </patternFill>
    </fill>
  </fills>
  <borders count="3">
    <border>
      <left/>
      <right/>
      <top/>
      <bottom/>
      <diagonal/>
    </border>
    <border>
      <bottom style="medium">
        <color rgb="005A152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5" borderId="2" applyAlignment="1" pivotButton="0" quotePrefix="0" xfId="0">
      <alignment horizontal="center" vertical="top" wrapText="1"/>
    </xf>
    <xf numFmtId="0" fontId="12" fillId="4" borderId="2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 vertical="top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" fillId="6" borderId="2" applyAlignment="1" pivotButton="0" quotePrefix="0" xfId="0">
      <alignment horizontal="center" vertical="top" wrapText="1"/>
    </xf>
    <xf numFmtId="0" fontId="14" fillId="7" borderId="2" applyAlignment="1" pivotButton="0" quotePrefix="0" xfId="0">
      <alignment horizontal="center" vertical="top" wrapText="1"/>
    </xf>
    <xf numFmtId="0" fontId="15" fillId="8" borderId="2" applyAlignment="1" pivotButton="0" quotePrefix="0" xfId="0">
      <alignment horizontal="center" vertical="top" wrapText="1"/>
    </xf>
    <xf numFmtId="0" fontId="16" fillId="9" borderId="2" applyAlignment="1" pivotButton="0" quotePrefix="0" xfId="0">
      <alignment horizontal="center" vertical="top" wrapText="1"/>
    </xf>
    <xf numFmtId="0" fontId="17" fillId="10" borderId="2" applyAlignment="1" pivotButton="0" quotePrefix="0" xfId="0">
      <alignment horizontal="center" vertical="top" wrapText="1"/>
    </xf>
    <xf numFmtId="0" fontId="18" fillId="11" borderId="2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3" fillId="4" borderId="2" applyAlignment="1" applyProtection="1" pivotButton="0" quotePrefix="0" xfId="0">
      <alignment horizontal="center" vertical="center"/>
      <protection locked="0" hidden="0"/>
    </xf>
    <xf numFmtId="0" fontId="3" fillId="4" borderId="2" applyAlignment="1" applyProtection="1" pivotButton="0" quotePrefix="0" xfId="0">
      <alignment vertical="center"/>
      <protection locked="0" hidden="0"/>
    </xf>
    <xf numFmtId="164" fontId="3" fillId="5" borderId="2" applyAlignment="1" applyProtection="1" pivotButton="0" quotePrefix="0" xfId="0">
      <alignment vertical="center"/>
      <protection locked="0" hidden="0"/>
    </xf>
    <xf numFmtId="9" fontId="3" fillId="5" borderId="2" applyAlignment="1" applyProtection="1" pivotButton="0" quotePrefix="0" xfId="0">
      <alignment vertical="center"/>
      <protection locked="0" hidden="0"/>
    </xf>
    <xf numFmtId="164" fontId="2" fillId="3" borderId="2" applyAlignment="1" pivotButton="0" quotePrefix="0" xfId="0">
      <alignment vertical="center"/>
    </xf>
    <xf numFmtId="165" fontId="2" fillId="3" borderId="2" applyAlignment="1" pivotButton="0" quotePrefix="0" xfId="0">
      <alignment vertical="center"/>
    </xf>
    <xf numFmtId="166" fontId="2" fillId="3" borderId="2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/>
    </xf>
    <xf numFmtId="0" fontId="3" fillId="4" borderId="2" applyAlignment="1" applyProtection="1" pivotButton="0" quotePrefix="0" xfId="0">
      <alignment vertical="center" wrapText="1"/>
      <protection locked="0" hidden="0"/>
    </xf>
    <xf numFmtId="0" fontId="1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vertical="top" wrapText="1"/>
    </xf>
    <xf numFmtId="0" fontId="2" fillId="3" borderId="2" applyAlignment="1" pivotButton="0" quotePrefix="0" xfId="0">
      <alignment horizontal="center" vertical="top"/>
    </xf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  <xf numFmtId="0" fontId="6" fillId="0" borderId="2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dxfs count="13">
    <dxf>
      <font>
        <b val="1"/>
        <color rgb="00FFFFFF"/>
      </font>
      <fill>
        <patternFill patternType="solid">
          <fgColor rgb="00C00000"/>
          <bgColor rgb="00C00000"/>
        </patternFill>
      </fill>
    </dxf>
    <dxf>
      <font>
        <b val="1"/>
        <color rgb="007F6000"/>
      </font>
      <fill>
        <patternFill patternType="solid">
          <fgColor rgb="00FFD966"/>
          <bgColor rgb="00FFD966"/>
        </patternFill>
      </fill>
    </dxf>
    <dxf>
      <font>
        <b val="1"/>
        <color rgb="00843C0C"/>
      </font>
      <fill>
        <patternFill patternType="solid">
          <fgColor rgb="00F4B183"/>
          <bgColor rgb="00F4B183"/>
        </patternFill>
      </fill>
    </dxf>
    <dxf>
      <font>
        <color rgb="001F4E79"/>
      </font>
      <fill>
        <patternFill patternType="solid">
          <fgColor rgb="00DDEBF7"/>
          <bgColor rgb="00DDEBF7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7F7F7F"/>
      </font>
      <fill>
        <patternFill patternType="solid">
          <fgColor rgb="00EFEFEF"/>
          <bgColor rgb="00EFEFEF"/>
        </patternFill>
      </fill>
    </dxf>
    <dxf>
      <fill>
        <patternFill patternType="solid">
          <fgColor rgb="00FBE3E3"/>
          <bgColor rgb="00FBE3E3"/>
        </patternFill>
      </fill>
    </dxf>
    <dxf>
      <font>
        <i val="1"/>
        <color rgb="00A6A6A6"/>
      </font>
    </dxf>
    <dxf>
      <font>
        <b val="1"/>
        <color rgb="00C00000"/>
      </font>
    </dxf>
    <dxf>
      <font>
        <color rgb="00006100"/>
      </font>
    </dxf>
    <dxf>
      <font>
        <color rgb="00C00000"/>
      </font>
    </dxf>
    <dxf>
      <font>
        <color rgb="00C8C8C8"/>
      </font>
    </dxf>
    <dxf>
      <border>
        <top style="thin">
          <color rgb="007A1F2B"/>
        </top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ixvii.co</author>
  </authors>
  <commentList>
    <comment ref="A1" authorId="0" shapeId="0">
      <text>
        <t>Dibuat sistem. Jangan diubah.
Baris baru: biarkan kosong, ID diberikan saat impor.</t>
      </text>
    </comment>
    <comment ref="B1" authorId="0" shapeId="0">
      <text>
        <t>Pilih dari daftar: Nonton, AI, Editing, Edukasi, Musik, Lainnya.</t>
      </text>
    </comment>
    <comment ref="C1" authorId="0" shapeId="0">
      <text>
        <t>Nama aplikasi persis seperti di web, mis. Netflix, Claude AI.
Nama abu-abu = sama dengan baris di atasnya (hanya tampilan).</t>
      </text>
    </comment>
    <comment ref="D1" authorId="0" shapeId="0">
      <text>
        <t>Mis. Sharing, Private, 1P1U, Akun Seller.</t>
      </text>
    </comment>
    <comment ref="E1" authorId="0" shapeId="0">
      <text>
        <t>Label yang tampil di web, mis. 1 Bulan, 5U 7 Hari, 1 Tahun (Gar 12).</t>
      </text>
    </comment>
    <comment ref="F1" authorId="0" shapeId="0">
      <text>
        <t>Modal dari supplier. Ketik angka saja, mis. 33000.
Kosong = tidak diubah saat impor. Untuk menghapus HPP: ketik - (minus) dan isi Harga Manual.</t>
      </text>
    </comment>
    <comment ref="G1" authorId="0" shapeId="0">
      <text>
        <t>Sama dengan kolom "Margin" di file HPP lama.
Harga = HPP + HPP x Markup. Ketik 35% atau 0,35.</t>
      </text>
    </comment>
    <comment ref="H1" authorId="0" shapeId="0">
      <text>
        <t>Opsional. Isi kalau mau harga tertentu; rumus diabaikan.
Kosongkan untuk kembali memakai rumus HPP + Markup.</t>
      </text>
    </comment>
    <comment ref="I1" authorId="0" shapeId="0">
      <text>
        <t>Harga yang tampil di web setelah impor.
= Harga Manual, atau HPP + Markup dibulatkan ke atas ke ribuan.</t>
      </text>
    </comment>
    <comment ref="J1" authorId="0" shapeId="0">
      <text>
        <t>Harga Final - HPP.</t>
      </text>
    </comment>
    <comment ref="K1" authorId="0" shapeId="0">
      <text>
        <t>Untung / Harga Final. Angka ini yang dipakai sistem untuk batas diskon bundling.</t>
      </text>
    </comment>
    <comment ref="L1" authorId="0" shapeId="0">
      <text>
        <t>Harga yang sedang tayang (dari katalog 22 Okt 2026). Hanya pembanding.</t>
      </text>
    </comment>
    <comment ref="M1" authorId="0" shapeId="0">
      <text>
        <t>Harga Final - Harga di Web Sekarang.</t>
      </text>
    </comment>
    <comment ref="N1" authorId="0" shapeId="0">
      <text>
        <t>Dicek otomatis. Lihat arti warna di sheet Petunjuk.</t>
      </text>
    </comment>
    <comment ref="O1" authorId="0" shapeId="0">
      <text>
        <t>Tersedia / Habis. Kosong dibaca Tersedia.</t>
      </text>
    </comment>
    <comment ref="P1" authorId="0" shapeId="0">
      <text>
        <t>Ya / Tidak. Tidak = disembunyikan, data tetap tersimpan.</t>
      </text>
    </comment>
    <comment ref="Q1" authorId="0" shapeId="0">
      <text>
        <t>Bebas. Tidak tampil di web.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7A1F2B"/>
    <outlinePr summaryBelow="1" summaryRight="1"/>
    <pageSetUpPr fitToPage="1"/>
  </sheetPr>
  <dimension ref="B1:C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92" customWidth="1" min="3" max="3"/>
  </cols>
  <sheetData>
    <row r="1" ht="26" customHeight="1">
      <c r="B1" s="1" t="inlineStr">
        <is>
          <t>Template HPP &amp; Harga ixvii.co</t>
        </is>
      </c>
    </row>
    <row r="2" ht="30" customHeight="1">
      <c r="C2" s="2" t="inlineStr">
        <is>
          <t>{{INFO}}</t>
        </is>
      </c>
    </row>
    <row r="4">
      <c r="B4" s="3" t="inlineStr">
        <is>
          <t>Alur kerja</t>
        </is>
      </c>
    </row>
    <row r="5">
      <c r="B5" s="4" t="inlineStr">
        <is>
          <t>1</t>
        </is>
      </c>
      <c r="C5" s="2" t="inlineStr">
        <is>
          <t>Unduh file Excel terbaru dari panel admin (jangan pakai file lama: sistem menolak file yang lebih tua dari data di web).</t>
        </is>
      </c>
    </row>
    <row r="6">
      <c r="B6" s="4" t="inlineStr">
        <is>
          <t>2</t>
        </is>
      </c>
      <c r="C6" s="2" t="inlineStr">
        <is>
          <t>Ubah di sheet Katalog: HPP, Markup, Harga Manual, Stok, Tampil di Web, atau tambah baris baru.</t>
        </is>
      </c>
    </row>
    <row r="7">
      <c r="B7" s="4" t="inlineStr">
        <is>
          <t>3</t>
        </is>
      </c>
      <c r="C7" s="2" t="inlineStr">
        <is>
          <t>Simpan sebagai .xlsx (dari HP/WPS atau Google Sheets pun tetap pilih .xlsx, bukan CSV/PDF).</t>
        </is>
      </c>
    </row>
    <row r="8">
      <c r="B8" s="4" t="inlineStr">
        <is>
          <t>4</t>
        </is>
      </c>
      <c r="C8" s="2" t="inlineStr">
        <is>
          <t>Unggah di panel admin. Sistem menampilkan pratinjau: baris baru, yang berubah (lama → baru), dan error per baris.</t>
        </is>
      </c>
    </row>
    <row r="9">
      <c r="B9" s="4" t="inlineStr">
        <is>
          <t>5</t>
        </is>
      </c>
      <c r="C9" s="2" t="inlineStr">
        <is>
          <t>Kalau tidak ada error, tekan Terapkan. Semua perubahan masuk sekaligus dan bisa dibatalkan per unggahan.</t>
        </is>
      </c>
    </row>
    <row r="11">
      <c r="B11" s="3" t="inlineStr">
        <is>
          <t>Arti warna sel</t>
        </is>
      </c>
    </row>
    <row r="12" ht="18" customHeight="1">
      <c r="B12" s="5" t="inlineStr">
        <is>
          <t>Kuning</t>
        </is>
      </c>
      <c r="C12" s="2" t="inlineStr">
        <is>
          <t>Isi harga di sini: HPP, Markup, Harga Manual.</t>
        </is>
      </c>
    </row>
    <row r="13" ht="18" customHeight="1">
      <c r="B13" s="6" t="inlineStr">
        <is>
          <t>Putih</t>
        </is>
      </c>
      <c r="C13" s="2" t="inlineStr">
        <is>
          <t>Boleh diubah: Kategori, Aplikasi, Tipe Paket, Varian, Stok, Tampil di Web, Catatan.</t>
        </is>
      </c>
    </row>
    <row r="14" ht="18" customHeight="1">
      <c r="B14" s="7" t="inlineStr">
        <is>
          <t>Abu-abu</t>
        </is>
      </c>
      <c r="C14" s="2" t="inlineStr">
        <is>
          <t>Otomatis dari sistem atau rumus. Jangan diubah (kolom ini dikunci).</t>
        </is>
      </c>
    </row>
    <row r="15" ht="30" customHeight="1">
      <c r="B15" s="8" t="inlineStr">
        <is>
          <t>Nama pudar</t>
        </is>
      </c>
      <c r="C15" s="2" t="inlineStr">
        <is>
          <t>Aplikasi/tipe yang sama dengan baris di atasnya dibuat abu-abu muda supaya tabel terlihat berkelompok. Isinya tetap lengkap di setiap baris, jadi tabel tetap bisa difilter.</t>
        </is>
      </c>
    </row>
    <row r="17">
      <c r="B17" s="3" t="inlineStr">
        <is>
          <t>Cara harga dihitung</t>
        </is>
      </c>
    </row>
    <row r="18" ht="30" customHeight="1">
      <c r="B18" s="8" t="inlineStr">
        <is>
          <t>Rumus</t>
        </is>
      </c>
      <c r="C18" s="2" t="inlineStr">
        <is>
          <t>Harga Final = HPP + (HPP × Markup), lalu dibulatkan ke atas ke ribuan terdekat. Sama dengan rumus di file HPP lama; kolom "Margin" di file lama = kolom "Markup" di sini.</t>
        </is>
      </c>
    </row>
    <row r="19" ht="18" customHeight="1">
      <c r="B19" s="8" t="inlineStr">
        <is>
          <t>Contoh</t>
        </is>
      </c>
      <c r="C19" s="2" t="inlineStr">
        <is>
          <t>Netflix 1P1U 1 Bulan: HPP Rp33.000, Markup 35% → 33.000 + 11.550 = 44.550 → Harga Final Rp45.000.</t>
        </is>
      </c>
    </row>
    <row r="20" ht="30" customHeight="1">
      <c r="B20" s="8" t="inlineStr">
        <is>
          <t>Harga Manual</t>
        </is>
      </c>
      <c r="C20" s="2" t="inlineStr">
        <is>
          <t>Isi kalau mau harga tertentu (mis. Canva Team Pro Rp25.000). Kalau diisi, rumus diabaikan. Kosongkan untuk kembali ke rumus.</t>
        </is>
      </c>
    </row>
    <row r="21" ht="30" customHeight="1">
      <c r="B21" s="8" t="inlineStr">
        <is>
          <t>Markup vs Margin</t>
        </is>
      </c>
      <c r="C21" s="2" t="inlineStr">
        <is>
          <t>Markup dihitung dari HPP (yang kamu isi). Margin % dihitung dari harga jual dan dipakai sistem sebagai batas aman diskon bundling. Contoh: HPP 30.000 dijual 45.000 → markup 50%, margin 33%.</t>
        </is>
      </c>
    </row>
    <row r="23">
      <c r="B23" s="3" t="inlineStr">
        <is>
          <t>Aturan pengisian</t>
        </is>
      </c>
    </row>
    <row r="24" ht="30" customHeight="1">
      <c r="B24" s="9" t="inlineStr">
        <is>
          <t>Angka</t>
        </is>
      </c>
      <c r="C24" s="2" t="inlineStr">
        <is>
          <t>Ketik angka biasa: 45000. Sistem juga mengerti 45.000, Rp 45.000, dan 45rb. Harga tanpa desimal. Harga di bawah Rp1.000 ditolak (biasanya salah ketik).</t>
        </is>
      </c>
    </row>
    <row r="25" ht="30" customHeight="1">
      <c r="B25" s="9" t="inlineStr">
        <is>
          <t>Markup</t>
        </is>
      </c>
      <c r="C25" s="2" t="inlineStr">
        <is>
          <t>Ketik 35% atau 0,35. Markup di atas 100% boleh (mis. 465%).</t>
        </is>
      </c>
    </row>
    <row r="26" ht="30" customHeight="1">
      <c r="B26" s="9" t="inlineStr">
        <is>
          <t>HPP kosong</t>
        </is>
      </c>
      <c r="C26" s="2" t="inlineStr">
        <is>
          <t>Artinya "tidak diubah" saat impor. Untuk menghapus HPP yang sudah ada, ketik tanda minus (-) dan isi Harga Manual.</t>
        </is>
      </c>
    </row>
    <row r="27" ht="30" customHeight="1">
      <c r="B27" s="9" t="inlineStr">
        <is>
          <t>Varian baru</t>
        </is>
      </c>
      <c r="C27" s="2" t="inlineStr">
        <is>
          <t>Isi di baris kosong di bawah tabel, ID Varian dibiarkan kosong. ID diberikan sistem saat impor.</t>
        </is>
      </c>
    </row>
    <row r="28" ht="30" customHeight="1">
      <c r="B28" s="9" t="inlineStr">
        <is>
          <t>Sembunyikan</t>
        </is>
      </c>
      <c r="C28" s="2" t="inlineStr">
        <is>
          <t>Ubah Tampil di Web jadi Tidak. Menghapus baris TIDAK menghapus produk dari web.</t>
        </is>
      </c>
    </row>
    <row r="29" ht="30" customHeight="1">
      <c r="B29" s="9" t="inlineStr">
        <is>
          <t>Stok</t>
        </is>
      </c>
      <c r="C29" s="2" t="inlineStr">
        <is>
          <t>Pilih Tersedia atau Habis. Sel kosong dibaca Tersedia.</t>
        </is>
      </c>
    </row>
    <row r="30" ht="30" customHeight="1">
      <c r="B30" s="9" t="inlineStr">
        <is>
          <t>Kolom terkunci</t>
        </is>
      </c>
      <c r="C30" s="2" t="inlineStr">
        <is>
          <t>Sheet Katalog dikunci tanpa kata sandi supaya rumus tidak tertimpa. Filter tetap bisa dipakai. Kalau perlu membuka: Review → Unprotect Sheet.</t>
        </is>
      </c>
    </row>
    <row r="32">
      <c r="B32" s="3" t="inlineStr">
        <is>
          <t>Arti kolom Status</t>
        </is>
      </c>
    </row>
    <row r="33" ht="18" customHeight="1">
      <c r="B33" s="10" t="inlineStr">
        <is>
          <t>RUGI / impas</t>
        </is>
      </c>
      <c r="C33" s="2" t="inlineStr">
        <is>
          <t>Harga Final tidak lebih tinggi dari HPP.</t>
        </is>
      </c>
    </row>
    <row r="34" ht="18" customHeight="1">
      <c r="B34" s="10" t="inlineStr">
        <is>
          <t>Cek HPP</t>
        </is>
      </c>
      <c r="C34" s="2" t="inlineStr">
        <is>
          <t>Isi HPP bukan angka.</t>
        </is>
      </c>
    </row>
    <row r="35" ht="18" customHeight="1">
      <c r="B35" s="10" t="inlineStr">
        <is>
          <t>Cek Harga Manual</t>
        </is>
      </c>
      <c r="C35" s="2" t="inlineStr">
        <is>
          <t>Isi Harga Manual bukan angka.</t>
        </is>
      </c>
    </row>
    <row r="36" ht="18" customHeight="1">
      <c r="B36" s="10" t="inlineStr">
        <is>
          <t>Harga belum ada</t>
        </is>
      </c>
      <c r="C36" s="2" t="inlineStr">
        <is>
          <t>HPP/Markup belum lengkap dan Harga Manual kosong.</t>
        </is>
      </c>
    </row>
    <row r="37" ht="18" customHeight="1">
      <c r="B37" s="10" t="inlineStr">
        <is>
          <t>Isi Harga Manual</t>
        </is>
      </c>
      <c r="C37" s="2" t="inlineStr">
        <is>
          <t>HPP mau dihapus (tanda minus), tapi Harga Manual kosong. Isi Harga Manual supaya varian tetap punya harga.</t>
        </is>
      </c>
    </row>
    <row r="38" ht="18" customHeight="1">
      <c r="B38" s="10" t="inlineStr">
        <is>
          <t>Cek Markup</t>
        </is>
      </c>
      <c r="C38" s="2" t="inlineStr">
        <is>
          <t>Markup di atas 2000% atau negatif. Mau 35%? Ketik 35% (bukan 35).</t>
        </is>
      </c>
    </row>
    <row r="39" ht="18" customHeight="1">
      <c r="B39" s="11" t="inlineStr">
        <is>
          <t>HPP kosong</t>
        </is>
      </c>
      <c r="C39" s="2" t="inlineStr">
        <is>
          <t>Belum ada HPP. Varian tetap dijual dengan harga yang ada, tapi tidak ikut diskon bundling.</t>
        </is>
      </c>
    </row>
    <row r="40" ht="18" customHeight="1">
      <c r="B40" s="11" t="inlineStr">
        <is>
          <t>HPP 0, cek</t>
        </is>
      </c>
      <c r="C40" s="2" t="inlineStr">
        <is>
          <t>HPP tertulis 0. Benar gratis, atau belum diisi?</t>
        </is>
      </c>
    </row>
    <row r="41" ht="18" customHeight="1">
      <c r="B41" s="11" t="inlineStr">
        <is>
          <t>HPP akan dihapus</t>
        </is>
      </c>
      <c r="C41" s="2" t="inlineStr">
        <is>
          <t>Diisi tanda minus: HPP lama dihapus saat impor, harga memakai Harga Manual.</t>
        </is>
      </c>
    </row>
    <row r="42" ht="18" customHeight="1">
      <c r="B42" s="12" t="inlineStr">
        <is>
          <t>Berubah besar</t>
        </is>
      </c>
      <c r="C42" s="2" t="inlineStr">
        <is>
          <t>Harga Final naik/turun 30% atau lebih dari harga web sekarang.</t>
        </is>
      </c>
    </row>
    <row r="43" ht="18" customHeight="1">
      <c r="B43" s="13" t="inlineStr">
        <is>
          <t>Harga berubah</t>
        </is>
      </c>
      <c r="C43" s="2" t="inlineStr">
        <is>
          <t>Harga Final berbeda dari harga web sekarang.</t>
        </is>
      </c>
    </row>
    <row r="44" ht="18" customHeight="1">
      <c r="B44" s="14" t="inlineStr">
        <is>
          <t>Baru</t>
        </is>
      </c>
      <c r="C44" s="2" t="inlineStr">
        <is>
          <t>Belum ada di web; akan ditambahkan saat impor.</t>
        </is>
      </c>
    </row>
    <row r="45" ht="18" customHeight="1">
      <c r="B45" s="15" t="inlineStr">
        <is>
          <t>OK</t>
        </is>
      </c>
      <c r="C45" s="2" t="inlineStr">
        <is>
          <t>Harga sama dengan yang tayang di web.</t>
        </is>
      </c>
    </row>
  </sheetData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7A1F2B"/>
    <outlinePr summaryBelow="1" summaryRight="1"/>
    <pageSetUpPr fitToPage="1"/>
  </sheetPr>
  <dimension ref="A1:Q400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9" customWidth="1" min="4" max="4"/>
    <col width="22" customWidth="1" min="5" max="5"/>
    <col width="11" customWidth="1" min="6" max="6"/>
    <col width="11" customWidth="1" min="7" max="7"/>
    <col width="12" customWidth="1" min="8" max="8"/>
    <col width="12" customWidth="1" min="9" max="9"/>
    <col width="11" customWidth="1" min="10" max="10"/>
    <col width="11" customWidth="1" min="11" max="11"/>
    <col width="12" customWidth="1" min="12" max="12"/>
    <col width="11" customWidth="1" min="13" max="13"/>
    <col width="16" customWidth="1" min="14" max="14"/>
    <col width="10" customWidth="1" min="15" max="15"/>
    <col width="9" customWidth="1" min="16" max="16"/>
    <col width="30" customWidth="1" min="17" max="17"/>
  </cols>
  <sheetData>
    <row r="1" ht="42" customHeight="1">
      <c r="A1" s="16" t="inlineStr">
        <is>
          <t>ID Varian</t>
        </is>
      </c>
      <c r="B1" s="16" t="inlineStr">
        <is>
          <t>Kategori *</t>
        </is>
      </c>
      <c r="C1" s="16" t="inlineStr">
        <is>
          <t>Aplikasi *</t>
        </is>
      </c>
      <c r="D1" s="16" t="inlineStr">
        <is>
          <t>Tipe Paket *</t>
        </is>
      </c>
      <c r="E1" s="16" t="inlineStr">
        <is>
          <t>Varian / Durasi *</t>
        </is>
      </c>
      <c r="F1" s="16" t="inlineStr">
        <is>
          <t>HPP (Rp)</t>
        </is>
      </c>
      <c r="G1" s="16" t="inlineStr">
        <is>
          <t>Markup (% dari HPP)</t>
        </is>
      </c>
      <c r="H1" s="16" t="inlineStr">
        <is>
          <t>Harga Manual (Rp)</t>
        </is>
      </c>
      <c r="I1" s="16" t="inlineStr">
        <is>
          <t>Harga Final (Rp)</t>
        </is>
      </c>
      <c r="J1" s="16" t="inlineStr">
        <is>
          <t>Untung (Rp)</t>
        </is>
      </c>
      <c r="K1" s="16" t="inlineStr">
        <is>
          <t>Margin % (dari harga jual)</t>
        </is>
      </c>
      <c r="L1" s="16" t="inlineStr">
        <is>
          <t>Harga di Web Sekarang</t>
        </is>
      </c>
      <c r="M1" s="16" t="inlineStr">
        <is>
          <t>Perubahan</t>
        </is>
      </c>
      <c r="N1" s="16" t="inlineStr">
        <is>
          <t>Status</t>
        </is>
      </c>
      <c r="O1" s="16" t="inlineStr">
        <is>
          <t>Stok</t>
        </is>
      </c>
      <c r="P1" s="16" t="inlineStr">
        <is>
          <t>Tampil di Web</t>
        </is>
      </c>
      <c r="Q1" s="16" t="inlineStr">
        <is>
          <t>Catatan Internal</t>
        </is>
      </c>
    </row>
    <row r="2">
      <c r="A2" s="17" t="n"/>
      <c r="B2" s="18" t="n"/>
      <c r="C2" s="19" t="n"/>
      <c r="D2" s="19" t="n"/>
      <c r="E2" s="19" t="n"/>
      <c r="F2" s="20" t="n"/>
      <c r="G2" s="21" t="n"/>
      <c r="H2" s="20" t="n"/>
      <c r="I2" s="22">
        <f>IF(ISNUMBER(H2),H2,IF(AND(ISNUMBER(F2),ISNUMBER(G2)),CEILING(ROUND(F2*(1+G2),2),1000),""))</f>
        <v/>
      </c>
      <c r="J2" s="22">
        <f>IF(AND(ISNUMBER(I2),ISNUMBER(F2)),I2-F2,"")</f>
        <v/>
      </c>
      <c r="K2" s="23">
        <f>IF(AND(ISNUMBER(I2),ISNUMBER(F2)),IF(I2=0,"",(I2-F2)/I2),"")</f>
        <v/>
      </c>
      <c r="L2" s="22" t="n"/>
      <c r="M2" s="24">
        <f>IF(AND(ISNUMBER(I2),ISNUMBER(L2)),I2-L2,"")</f>
        <v/>
      </c>
      <c r="N2" s="25">
        <f>IF(AND(C2="",E2=""),"",IF(AND(H2&lt;&gt;"",NOT(ISNUMBER(H2))),"Cek Harga Manual",IF(AND(F2="-",NOT(ISNUMBER(H2))),"Isi Harga Manual",IF(F2="-","HPP akan dihapus",IF(AND(F2&lt;&gt;"",NOT(ISNUMBER(F2))),"Cek HPP",IF(AND(ISNUMBER(G2),OR(G2&lt;0,G2&gt;20)),"Cek Markup",IF(NOT(ISNUMBER(I2)),"Harga belum ada",IF(F2="","HPP kosong",IF(F2=0,"HPP 0, cek",IF(I2&lt;=F2,"RUGI / impas",IF(NOT(ISNUMBER(L2)),"Baru",IF(M2=0,"OK",IF(ABS(M2)&gt;=0.3*L2,"Berubah besar","Harga berubah")))))))))))))</f>
        <v/>
      </c>
      <c r="O2" s="18" t="n"/>
      <c r="P2" s="18" t="n"/>
      <c r="Q2" s="26" t="n"/>
    </row>
    <row r="3">
      <c r="A3" s="17" t="n"/>
      <c r="B3" s="18" t="n"/>
      <c r="C3" s="19" t="n"/>
      <c r="D3" s="19" t="n"/>
      <c r="E3" s="19" t="n"/>
      <c r="F3" s="20" t="n"/>
      <c r="G3" s="21" t="n"/>
      <c r="H3" s="20" t="n"/>
      <c r="I3" s="22">
        <f>IF(ISNUMBER(H3),H3,IF(AND(ISNUMBER(F3),ISNUMBER(G3)),CEILING(ROUND(F3*(1+G3),2),1000),""))</f>
        <v/>
      </c>
      <c r="J3" s="22">
        <f>IF(AND(ISNUMBER(I3),ISNUMBER(F3)),I3-F3,"")</f>
        <v/>
      </c>
      <c r="K3" s="23">
        <f>IF(AND(ISNUMBER(I3),ISNUMBER(F3)),IF(I3=0,"",(I3-F3)/I3),"")</f>
        <v/>
      </c>
      <c r="L3" s="22" t="n"/>
      <c r="M3" s="24">
        <f>IF(AND(ISNUMBER(I3),ISNUMBER(L3)),I3-L3,"")</f>
        <v/>
      </c>
      <c r="N3" s="25">
        <f>IF(AND(C3="",E3=""),"",IF(AND(H3&lt;&gt;"",NOT(ISNUMBER(H3))),"Cek Harga Manual",IF(AND(F3="-",NOT(ISNUMBER(H3))),"Isi Harga Manual",IF(F3="-","HPP akan dihapus",IF(AND(F3&lt;&gt;"",NOT(ISNUMBER(F3))),"Cek HPP",IF(AND(ISNUMBER(G3),OR(G3&lt;0,G3&gt;20)),"Cek Markup",IF(NOT(ISNUMBER(I3)),"Harga belum ada",IF(F3="","HPP kosong",IF(F3=0,"HPP 0, cek",IF(I3&lt;=F3,"RUGI / impas",IF(NOT(ISNUMBER(L3)),"Baru",IF(M3=0,"OK",IF(ABS(M3)&gt;=0.3*L3,"Berubah besar","Harga berubah")))))))))))))</f>
        <v/>
      </c>
      <c r="O3" s="18" t="n"/>
      <c r="P3" s="18" t="n"/>
      <c r="Q3" s="26" t="n"/>
    </row>
    <row r="4">
      <c r="A4" s="17" t="n"/>
      <c r="B4" s="18" t="n"/>
      <c r="C4" s="19" t="n"/>
      <c r="D4" s="19" t="n"/>
      <c r="E4" s="19" t="n"/>
      <c r="F4" s="20" t="n"/>
      <c r="G4" s="21" t="n"/>
      <c r="H4" s="20" t="n"/>
      <c r="I4" s="22">
        <f>IF(ISNUMBER(H4),H4,IF(AND(ISNUMBER(F4),ISNUMBER(G4)),CEILING(ROUND(F4*(1+G4),2),1000),""))</f>
        <v/>
      </c>
      <c r="J4" s="22">
        <f>IF(AND(ISNUMBER(I4),ISNUMBER(F4)),I4-F4,"")</f>
        <v/>
      </c>
      <c r="K4" s="23">
        <f>IF(AND(ISNUMBER(I4),ISNUMBER(F4)),IF(I4=0,"",(I4-F4)/I4),"")</f>
        <v/>
      </c>
      <c r="L4" s="22" t="n"/>
      <c r="M4" s="24">
        <f>IF(AND(ISNUMBER(I4),ISNUMBER(L4)),I4-L4,"")</f>
        <v/>
      </c>
      <c r="N4" s="25">
        <f>IF(AND(C4="",E4=""),"",IF(AND(H4&lt;&gt;"",NOT(ISNUMBER(H4))),"Cek Harga Manual",IF(AND(F4="-",NOT(ISNUMBER(H4))),"Isi Harga Manual",IF(F4="-","HPP akan dihapus",IF(AND(F4&lt;&gt;"",NOT(ISNUMBER(F4))),"Cek HPP",IF(AND(ISNUMBER(G4),OR(G4&lt;0,G4&gt;20)),"Cek Markup",IF(NOT(ISNUMBER(I4)),"Harga belum ada",IF(F4="","HPP kosong",IF(F4=0,"HPP 0, cek",IF(I4&lt;=F4,"RUGI / impas",IF(NOT(ISNUMBER(L4)),"Baru",IF(M4=0,"OK",IF(ABS(M4)&gt;=0.3*L4,"Berubah besar","Harga berubah")))))))))))))</f>
        <v/>
      </c>
      <c r="O4" s="18" t="n"/>
      <c r="P4" s="18" t="n"/>
      <c r="Q4" s="26" t="n"/>
    </row>
    <row r="5">
      <c r="A5" s="17" t="n"/>
      <c r="B5" s="18" t="n"/>
      <c r="C5" s="19" t="n"/>
      <c r="D5" s="19" t="n"/>
      <c r="E5" s="19" t="n"/>
      <c r="F5" s="20" t="n"/>
      <c r="G5" s="21" t="n"/>
      <c r="H5" s="20" t="n"/>
      <c r="I5" s="22">
        <f>IF(ISNUMBER(H5),H5,IF(AND(ISNUMBER(F5),ISNUMBER(G5)),CEILING(ROUND(F5*(1+G5),2),1000),""))</f>
        <v/>
      </c>
      <c r="J5" s="22">
        <f>IF(AND(ISNUMBER(I5),ISNUMBER(F5)),I5-F5,"")</f>
        <v/>
      </c>
      <c r="K5" s="23">
        <f>IF(AND(ISNUMBER(I5),ISNUMBER(F5)),IF(I5=0,"",(I5-F5)/I5),"")</f>
        <v/>
      </c>
      <c r="L5" s="22" t="n"/>
      <c r="M5" s="24">
        <f>IF(AND(ISNUMBER(I5),ISNUMBER(L5)),I5-L5,"")</f>
        <v/>
      </c>
      <c r="N5" s="25">
        <f>IF(AND(C5="",E5=""),"",IF(AND(H5&lt;&gt;"",NOT(ISNUMBER(H5))),"Cek Harga Manual",IF(AND(F5="-",NOT(ISNUMBER(H5))),"Isi Harga Manual",IF(F5="-","HPP akan dihapus",IF(AND(F5&lt;&gt;"",NOT(ISNUMBER(F5))),"Cek HPP",IF(AND(ISNUMBER(G5),OR(G5&lt;0,G5&gt;20)),"Cek Markup",IF(NOT(ISNUMBER(I5)),"Harga belum ada",IF(F5="","HPP kosong",IF(F5=0,"HPP 0, cek",IF(I5&lt;=F5,"RUGI / impas",IF(NOT(ISNUMBER(L5)),"Baru",IF(M5=0,"OK",IF(ABS(M5)&gt;=0.3*L5,"Berubah besar","Harga berubah")))))))))))))</f>
        <v/>
      </c>
      <c r="O5" s="18" t="n"/>
      <c r="P5" s="18" t="n"/>
      <c r="Q5" s="26" t="n"/>
    </row>
    <row r="6">
      <c r="A6" s="17" t="n"/>
      <c r="B6" s="18" t="n"/>
      <c r="C6" s="19" t="n"/>
      <c r="D6" s="19" t="n"/>
      <c r="E6" s="19" t="n"/>
      <c r="F6" s="20" t="n"/>
      <c r="G6" s="21" t="n"/>
      <c r="H6" s="20" t="n"/>
      <c r="I6" s="22">
        <f>IF(ISNUMBER(H6),H6,IF(AND(ISNUMBER(F6),ISNUMBER(G6)),CEILING(ROUND(F6*(1+G6),2),1000),""))</f>
        <v/>
      </c>
      <c r="J6" s="22">
        <f>IF(AND(ISNUMBER(I6),ISNUMBER(F6)),I6-F6,"")</f>
        <v/>
      </c>
      <c r="K6" s="23">
        <f>IF(AND(ISNUMBER(I6),ISNUMBER(F6)),IF(I6=0,"",(I6-F6)/I6),"")</f>
        <v/>
      </c>
      <c r="L6" s="22" t="n"/>
      <c r="M6" s="24">
        <f>IF(AND(ISNUMBER(I6),ISNUMBER(L6)),I6-L6,"")</f>
        <v/>
      </c>
      <c r="N6" s="25">
        <f>IF(AND(C6="",E6=""),"",IF(AND(H6&lt;&gt;"",NOT(ISNUMBER(H6))),"Cek Harga Manual",IF(AND(F6="-",NOT(ISNUMBER(H6))),"Isi Harga Manual",IF(F6="-","HPP akan dihapus",IF(AND(F6&lt;&gt;"",NOT(ISNUMBER(F6))),"Cek HPP",IF(AND(ISNUMBER(G6),OR(G6&lt;0,G6&gt;20)),"Cek Markup",IF(NOT(ISNUMBER(I6)),"Harga belum ada",IF(F6="","HPP kosong",IF(F6=0,"HPP 0, cek",IF(I6&lt;=F6,"RUGI / impas",IF(NOT(ISNUMBER(L6)),"Baru",IF(M6=0,"OK",IF(ABS(M6)&gt;=0.3*L6,"Berubah besar","Harga berubah")))))))))))))</f>
        <v/>
      </c>
      <c r="O6" s="18" t="n"/>
      <c r="P6" s="18" t="n"/>
      <c r="Q6" s="26" t="n"/>
    </row>
    <row r="7">
      <c r="A7" s="17" t="n"/>
      <c r="B7" s="18" t="n"/>
      <c r="C7" s="19" t="n"/>
      <c r="D7" s="19" t="n"/>
      <c r="E7" s="19" t="n"/>
      <c r="F7" s="20" t="n"/>
      <c r="G7" s="21" t="n"/>
      <c r="H7" s="20" t="n"/>
      <c r="I7" s="22">
        <f>IF(ISNUMBER(H7),H7,IF(AND(ISNUMBER(F7),ISNUMBER(G7)),CEILING(ROUND(F7*(1+G7),2),1000),""))</f>
        <v/>
      </c>
      <c r="J7" s="22">
        <f>IF(AND(ISNUMBER(I7),ISNUMBER(F7)),I7-F7,"")</f>
        <v/>
      </c>
      <c r="K7" s="23">
        <f>IF(AND(ISNUMBER(I7),ISNUMBER(F7)),IF(I7=0,"",(I7-F7)/I7),"")</f>
        <v/>
      </c>
      <c r="L7" s="22" t="n"/>
      <c r="M7" s="24">
        <f>IF(AND(ISNUMBER(I7),ISNUMBER(L7)),I7-L7,"")</f>
        <v/>
      </c>
      <c r="N7" s="25">
        <f>IF(AND(C7="",E7=""),"",IF(AND(H7&lt;&gt;"",NOT(ISNUMBER(H7))),"Cek Harga Manual",IF(AND(F7="-",NOT(ISNUMBER(H7))),"Isi Harga Manual",IF(F7="-","HPP akan dihapus",IF(AND(F7&lt;&gt;"",NOT(ISNUMBER(F7))),"Cek HPP",IF(AND(ISNUMBER(G7),OR(G7&lt;0,G7&gt;20)),"Cek Markup",IF(NOT(ISNUMBER(I7)),"Harga belum ada",IF(F7="","HPP kosong",IF(F7=0,"HPP 0, cek",IF(I7&lt;=F7,"RUGI / impas",IF(NOT(ISNUMBER(L7)),"Baru",IF(M7=0,"OK",IF(ABS(M7)&gt;=0.3*L7,"Berubah besar","Harga berubah")))))))))))))</f>
        <v/>
      </c>
      <c r="O7" s="18" t="n"/>
      <c r="P7" s="18" t="n"/>
      <c r="Q7" s="26" t="n"/>
    </row>
    <row r="8">
      <c r="A8" s="17" t="n"/>
      <c r="B8" s="18" t="n"/>
      <c r="C8" s="19" t="n"/>
      <c r="D8" s="19" t="n"/>
      <c r="E8" s="19" t="n"/>
      <c r="F8" s="20" t="n"/>
      <c r="G8" s="21" t="n"/>
      <c r="H8" s="20" t="n"/>
      <c r="I8" s="22">
        <f>IF(ISNUMBER(H8),H8,IF(AND(ISNUMBER(F8),ISNUMBER(G8)),CEILING(ROUND(F8*(1+G8),2),1000),""))</f>
        <v/>
      </c>
      <c r="J8" s="22">
        <f>IF(AND(ISNUMBER(I8),ISNUMBER(F8)),I8-F8,"")</f>
        <v/>
      </c>
      <c r="K8" s="23">
        <f>IF(AND(ISNUMBER(I8),ISNUMBER(F8)),IF(I8=0,"",(I8-F8)/I8),"")</f>
        <v/>
      </c>
      <c r="L8" s="22" t="n"/>
      <c r="M8" s="24">
        <f>IF(AND(ISNUMBER(I8),ISNUMBER(L8)),I8-L8,"")</f>
        <v/>
      </c>
      <c r="N8" s="25">
        <f>IF(AND(C8="",E8=""),"",IF(AND(H8&lt;&gt;"",NOT(ISNUMBER(H8))),"Cek Harga Manual",IF(AND(F8="-",NOT(ISNUMBER(H8))),"Isi Harga Manual",IF(F8="-","HPP akan dihapus",IF(AND(F8&lt;&gt;"",NOT(ISNUMBER(F8))),"Cek HPP",IF(AND(ISNUMBER(G8),OR(G8&lt;0,G8&gt;20)),"Cek Markup",IF(NOT(ISNUMBER(I8)),"Harga belum ada",IF(F8="","HPP kosong",IF(F8=0,"HPP 0, cek",IF(I8&lt;=F8,"RUGI / impas",IF(NOT(ISNUMBER(L8)),"Baru",IF(M8=0,"OK",IF(ABS(M8)&gt;=0.3*L8,"Berubah besar","Harga berubah")))))))))))))</f>
        <v/>
      </c>
      <c r="O8" s="18" t="n"/>
      <c r="P8" s="18" t="n"/>
      <c r="Q8" s="26" t="n"/>
    </row>
    <row r="9">
      <c r="A9" s="17" t="n"/>
      <c r="B9" s="18" t="n"/>
      <c r="C9" s="19" t="n"/>
      <c r="D9" s="19" t="n"/>
      <c r="E9" s="19" t="n"/>
      <c r="F9" s="20" t="n"/>
      <c r="G9" s="21" t="n"/>
      <c r="H9" s="20" t="n"/>
      <c r="I9" s="22">
        <f>IF(ISNUMBER(H9),H9,IF(AND(ISNUMBER(F9),ISNUMBER(G9)),CEILING(ROUND(F9*(1+G9),2),1000),""))</f>
        <v/>
      </c>
      <c r="J9" s="22">
        <f>IF(AND(ISNUMBER(I9),ISNUMBER(F9)),I9-F9,"")</f>
        <v/>
      </c>
      <c r="K9" s="23">
        <f>IF(AND(ISNUMBER(I9),ISNUMBER(F9)),IF(I9=0,"",(I9-F9)/I9),"")</f>
        <v/>
      </c>
      <c r="L9" s="22" t="n"/>
      <c r="M9" s="24">
        <f>IF(AND(ISNUMBER(I9),ISNUMBER(L9)),I9-L9,"")</f>
        <v/>
      </c>
      <c r="N9" s="25">
        <f>IF(AND(C9="",E9=""),"",IF(AND(H9&lt;&gt;"",NOT(ISNUMBER(H9))),"Cek Harga Manual",IF(AND(F9="-",NOT(ISNUMBER(H9))),"Isi Harga Manual",IF(F9="-","HPP akan dihapus",IF(AND(F9&lt;&gt;"",NOT(ISNUMBER(F9))),"Cek HPP",IF(AND(ISNUMBER(G9),OR(G9&lt;0,G9&gt;20)),"Cek Markup",IF(NOT(ISNUMBER(I9)),"Harga belum ada",IF(F9="","HPP kosong",IF(F9=0,"HPP 0, cek",IF(I9&lt;=F9,"RUGI / impas",IF(NOT(ISNUMBER(L9)),"Baru",IF(M9=0,"OK",IF(ABS(M9)&gt;=0.3*L9,"Berubah besar","Harga berubah")))))))))))))</f>
        <v/>
      </c>
      <c r="O9" s="18" t="n"/>
      <c r="P9" s="18" t="n"/>
      <c r="Q9" s="26" t="n"/>
    </row>
    <row r="10">
      <c r="A10" s="17" t="n"/>
      <c r="B10" s="18" t="n"/>
      <c r="C10" s="19" t="n"/>
      <c r="D10" s="19" t="n"/>
      <c r="E10" s="19" t="n"/>
      <c r="F10" s="20" t="n"/>
      <c r="G10" s="21" t="n"/>
      <c r="H10" s="20" t="n"/>
      <c r="I10" s="22">
        <f>IF(ISNUMBER(H10),H10,IF(AND(ISNUMBER(F10),ISNUMBER(G10)),CEILING(ROUND(F10*(1+G10),2),1000),""))</f>
        <v/>
      </c>
      <c r="J10" s="22">
        <f>IF(AND(ISNUMBER(I10),ISNUMBER(F10)),I10-F10,"")</f>
        <v/>
      </c>
      <c r="K10" s="23">
        <f>IF(AND(ISNUMBER(I10),ISNUMBER(F10)),IF(I10=0,"",(I10-F10)/I10),"")</f>
        <v/>
      </c>
      <c r="L10" s="22" t="n"/>
      <c r="M10" s="24">
        <f>IF(AND(ISNUMBER(I10),ISNUMBER(L10)),I10-L10,"")</f>
        <v/>
      </c>
      <c r="N10" s="25">
        <f>IF(AND(C10="",E10=""),"",IF(AND(H10&lt;&gt;"",NOT(ISNUMBER(H10))),"Cek Harga Manual",IF(AND(F10="-",NOT(ISNUMBER(H10))),"Isi Harga Manual",IF(F10="-","HPP akan dihapus",IF(AND(F10&lt;&gt;"",NOT(ISNUMBER(F10))),"Cek HPP",IF(AND(ISNUMBER(G10),OR(G10&lt;0,G10&gt;20)),"Cek Markup",IF(NOT(ISNUMBER(I10)),"Harga belum ada",IF(F10="","HPP kosong",IF(F10=0,"HPP 0, cek",IF(I10&lt;=F10,"RUGI / impas",IF(NOT(ISNUMBER(L10)),"Baru",IF(M10=0,"OK",IF(ABS(M10)&gt;=0.3*L10,"Berubah besar","Harga berubah")))))))))))))</f>
        <v/>
      </c>
      <c r="O10" s="18" t="n"/>
      <c r="P10" s="18" t="n"/>
      <c r="Q10" s="26" t="n"/>
    </row>
    <row r="11">
      <c r="A11" s="17" t="n"/>
      <c r="B11" s="18" t="n"/>
      <c r="C11" s="19" t="n"/>
      <c r="D11" s="19" t="n"/>
      <c r="E11" s="19" t="n"/>
      <c r="F11" s="20" t="n"/>
      <c r="G11" s="21" t="n"/>
      <c r="H11" s="20" t="n"/>
      <c r="I11" s="22">
        <f>IF(ISNUMBER(H11),H11,IF(AND(ISNUMBER(F11),ISNUMBER(G11)),CEILING(ROUND(F11*(1+G11),2),1000),""))</f>
        <v/>
      </c>
      <c r="J11" s="22">
        <f>IF(AND(ISNUMBER(I11),ISNUMBER(F11)),I11-F11,"")</f>
        <v/>
      </c>
      <c r="K11" s="23">
        <f>IF(AND(ISNUMBER(I11),ISNUMBER(F11)),IF(I11=0,"",(I11-F11)/I11),"")</f>
        <v/>
      </c>
      <c r="L11" s="22" t="n"/>
      <c r="M11" s="24">
        <f>IF(AND(ISNUMBER(I11),ISNUMBER(L11)),I11-L11,"")</f>
        <v/>
      </c>
      <c r="N11" s="25">
        <f>IF(AND(C11="",E11=""),"",IF(AND(H11&lt;&gt;"",NOT(ISNUMBER(H11))),"Cek Harga Manual",IF(AND(F11="-",NOT(ISNUMBER(H11))),"Isi Harga Manual",IF(F11="-","HPP akan dihapus",IF(AND(F11&lt;&gt;"",NOT(ISNUMBER(F11))),"Cek HPP",IF(AND(ISNUMBER(G11),OR(G11&lt;0,G11&gt;20)),"Cek Markup",IF(NOT(ISNUMBER(I11)),"Harga belum ada",IF(F11="","HPP kosong",IF(F11=0,"HPP 0, cek",IF(I11&lt;=F11,"RUGI / impas",IF(NOT(ISNUMBER(L11)),"Baru",IF(M11=0,"OK",IF(ABS(M11)&gt;=0.3*L11,"Berubah besar","Harga berubah")))))))))))))</f>
        <v/>
      </c>
      <c r="O11" s="18" t="n"/>
      <c r="P11" s="18" t="n"/>
      <c r="Q11" s="26" t="n"/>
    </row>
    <row r="12">
      <c r="A12" s="17" t="n"/>
      <c r="B12" s="18" t="n"/>
      <c r="C12" s="19" t="n"/>
      <c r="D12" s="19" t="n"/>
      <c r="E12" s="19" t="n"/>
      <c r="F12" s="20" t="n"/>
      <c r="G12" s="21" t="n"/>
      <c r="H12" s="20" t="n"/>
      <c r="I12" s="22">
        <f>IF(ISNUMBER(H12),H12,IF(AND(ISNUMBER(F12),ISNUMBER(G12)),CEILING(ROUND(F12*(1+G12),2),1000),""))</f>
        <v/>
      </c>
      <c r="J12" s="22">
        <f>IF(AND(ISNUMBER(I12),ISNUMBER(F12)),I12-F12,"")</f>
        <v/>
      </c>
      <c r="K12" s="23">
        <f>IF(AND(ISNUMBER(I12),ISNUMBER(F12)),IF(I12=0,"",(I12-F12)/I12),"")</f>
        <v/>
      </c>
      <c r="L12" s="22" t="n"/>
      <c r="M12" s="24">
        <f>IF(AND(ISNUMBER(I12),ISNUMBER(L12)),I12-L12,"")</f>
        <v/>
      </c>
      <c r="N12" s="25">
        <f>IF(AND(C12="",E12=""),"",IF(AND(H12&lt;&gt;"",NOT(ISNUMBER(H12))),"Cek Harga Manual",IF(AND(F12="-",NOT(ISNUMBER(H12))),"Isi Harga Manual",IF(F12="-","HPP akan dihapus",IF(AND(F12&lt;&gt;"",NOT(ISNUMBER(F12))),"Cek HPP",IF(AND(ISNUMBER(G12),OR(G12&lt;0,G12&gt;20)),"Cek Markup",IF(NOT(ISNUMBER(I12)),"Harga belum ada",IF(F12="","HPP kosong",IF(F12=0,"HPP 0, cek",IF(I12&lt;=F12,"RUGI / impas",IF(NOT(ISNUMBER(L12)),"Baru",IF(M12=0,"OK",IF(ABS(M12)&gt;=0.3*L12,"Berubah besar","Harga berubah")))))))))))))</f>
        <v/>
      </c>
      <c r="O12" s="18" t="n"/>
      <c r="P12" s="18" t="n"/>
      <c r="Q12" s="26" t="n"/>
    </row>
    <row r="13">
      <c r="A13" s="17" t="n"/>
      <c r="B13" s="18" t="n"/>
      <c r="C13" s="19" t="n"/>
      <c r="D13" s="19" t="n"/>
      <c r="E13" s="19" t="n"/>
      <c r="F13" s="20" t="n"/>
      <c r="G13" s="21" t="n"/>
      <c r="H13" s="20" t="n"/>
      <c r="I13" s="22">
        <f>IF(ISNUMBER(H13),H13,IF(AND(ISNUMBER(F13),ISNUMBER(G13)),CEILING(ROUND(F13*(1+G13),2),1000),""))</f>
        <v/>
      </c>
      <c r="J13" s="22">
        <f>IF(AND(ISNUMBER(I13),ISNUMBER(F13)),I13-F13,"")</f>
        <v/>
      </c>
      <c r="K13" s="23">
        <f>IF(AND(ISNUMBER(I13),ISNUMBER(F13)),IF(I13=0,"",(I13-F13)/I13),"")</f>
        <v/>
      </c>
      <c r="L13" s="22" t="n"/>
      <c r="M13" s="24">
        <f>IF(AND(ISNUMBER(I13),ISNUMBER(L13)),I13-L13,"")</f>
        <v/>
      </c>
      <c r="N13" s="25">
        <f>IF(AND(C13="",E13=""),"",IF(AND(H13&lt;&gt;"",NOT(ISNUMBER(H13))),"Cek Harga Manual",IF(AND(F13="-",NOT(ISNUMBER(H13))),"Isi Harga Manual",IF(F13="-","HPP akan dihapus",IF(AND(F13&lt;&gt;"",NOT(ISNUMBER(F13))),"Cek HPP",IF(AND(ISNUMBER(G13),OR(G13&lt;0,G13&gt;20)),"Cek Markup",IF(NOT(ISNUMBER(I13)),"Harga belum ada",IF(F13="","HPP kosong",IF(F13=0,"HPP 0, cek",IF(I13&lt;=F13,"RUGI / impas",IF(NOT(ISNUMBER(L13)),"Baru",IF(M13=0,"OK",IF(ABS(M13)&gt;=0.3*L13,"Berubah besar","Harga berubah")))))))))))))</f>
        <v/>
      </c>
      <c r="O13" s="18" t="n"/>
      <c r="P13" s="18" t="n"/>
      <c r="Q13" s="26" t="n"/>
    </row>
    <row r="14">
      <c r="A14" s="17" t="n"/>
      <c r="B14" s="18" t="n"/>
      <c r="C14" s="19" t="n"/>
      <c r="D14" s="19" t="n"/>
      <c r="E14" s="19" t="n"/>
      <c r="F14" s="20" t="n"/>
      <c r="G14" s="21" t="n"/>
      <c r="H14" s="20" t="n"/>
      <c r="I14" s="22">
        <f>IF(ISNUMBER(H14),H14,IF(AND(ISNUMBER(F14),ISNUMBER(G14)),CEILING(ROUND(F14*(1+G14),2),1000),""))</f>
        <v/>
      </c>
      <c r="J14" s="22">
        <f>IF(AND(ISNUMBER(I14),ISNUMBER(F14)),I14-F14,"")</f>
        <v/>
      </c>
      <c r="K14" s="23">
        <f>IF(AND(ISNUMBER(I14),ISNUMBER(F14)),IF(I14=0,"",(I14-F14)/I14),"")</f>
        <v/>
      </c>
      <c r="L14" s="22" t="n"/>
      <c r="M14" s="24">
        <f>IF(AND(ISNUMBER(I14),ISNUMBER(L14)),I14-L14,"")</f>
        <v/>
      </c>
      <c r="N14" s="25">
        <f>IF(AND(C14="",E14=""),"",IF(AND(H14&lt;&gt;"",NOT(ISNUMBER(H14))),"Cek Harga Manual",IF(AND(F14="-",NOT(ISNUMBER(H14))),"Isi Harga Manual",IF(F14="-","HPP akan dihapus",IF(AND(F14&lt;&gt;"",NOT(ISNUMBER(F14))),"Cek HPP",IF(AND(ISNUMBER(G14),OR(G14&lt;0,G14&gt;20)),"Cek Markup",IF(NOT(ISNUMBER(I14)),"Harga belum ada",IF(F14="","HPP kosong",IF(F14=0,"HPP 0, cek",IF(I14&lt;=F14,"RUGI / impas",IF(NOT(ISNUMBER(L14)),"Baru",IF(M14=0,"OK",IF(ABS(M14)&gt;=0.3*L14,"Berubah besar","Harga berubah")))))))))))))</f>
        <v/>
      </c>
      <c r="O14" s="18" t="n"/>
      <c r="P14" s="18" t="n"/>
      <c r="Q14" s="26" t="n"/>
    </row>
    <row r="15">
      <c r="A15" s="17" t="n"/>
      <c r="B15" s="18" t="n"/>
      <c r="C15" s="19" t="n"/>
      <c r="D15" s="19" t="n"/>
      <c r="E15" s="19" t="n"/>
      <c r="F15" s="20" t="n"/>
      <c r="G15" s="21" t="n"/>
      <c r="H15" s="20" t="n"/>
      <c r="I15" s="22">
        <f>IF(ISNUMBER(H15),H15,IF(AND(ISNUMBER(F15),ISNUMBER(G15)),CEILING(ROUND(F15*(1+G15),2),1000),""))</f>
        <v/>
      </c>
      <c r="J15" s="22">
        <f>IF(AND(ISNUMBER(I15),ISNUMBER(F15)),I15-F15,"")</f>
        <v/>
      </c>
      <c r="K15" s="23">
        <f>IF(AND(ISNUMBER(I15),ISNUMBER(F15)),IF(I15=0,"",(I15-F15)/I15),"")</f>
        <v/>
      </c>
      <c r="L15" s="22" t="n"/>
      <c r="M15" s="24">
        <f>IF(AND(ISNUMBER(I15),ISNUMBER(L15)),I15-L15,"")</f>
        <v/>
      </c>
      <c r="N15" s="25">
        <f>IF(AND(C15="",E15=""),"",IF(AND(H15&lt;&gt;"",NOT(ISNUMBER(H15))),"Cek Harga Manual",IF(AND(F15="-",NOT(ISNUMBER(H15))),"Isi Harga Manual",IF(F15="-","HPP akan dihapus",IF(AND(F15&lt;&gt;"",NOT(ISNUMBER(F15))),"Cek HPP",IF(AND(ISNUMBER(G15),OR(G15&lt;0,G15&gt;20)),"Cek Markup",IF(NOT(ISNUMBER(I15)),"Harga belum ada",IF(F15="","HPP kosong",IF(F15=0,"HPP 0, cek",IF(I15&lt;=F15,"RUGI / impas",IF(NOT(ISNUMBER(L15)),"Baru",IF(M15=0,"OK",IF(ABS(M15)&gt;=0.3*L15,"Berubah besar","Harga berubah")))))))))))))</f>
        <v/>
      </c>
      <c r="O15" s="18" t="n"/>
      <c r="P15" s="18" t="n"/>
      <c r="Q15" s="26" t="n"/>
    </row>
    <row r="16">
      <c r="A16" s="17" t="n"/>
      <c r="B16" s="18" t="n"/>
      <c r="C16" s="19" t="n"/>
      <c r="D16" s="19" t="n"/>
      <c r="E16" s="19" t="n"/>
      <c r="F16" s="20" t="n"/>
      <c r="G16" s="21" t="n"/>
      <c r="H16" s="20" t="n"/>
      <c r="I16" s="22">
        <f>IF(ISNUMBER(H16),H16,IF(AND(ISNUMBER(F16),ISNUMBER(G16)),CEILING(ROUND(F16*(1+G16),2),1000),""))</f>
        <v/>
      </c>
      <c r="J16" s="22">
        <f>IF(AND(ISNUMBER(I16),ISNUMBER(F16)),I16-F16,"")</f>
        <v/>
      </c>
      <c r="K16" s="23">
        <f>IF(AND(ISNUMBER(I16),ISNUMBER(F16)),IF(I16=0,"",(I16-F16)/I16),"")</f>
        <v/>
      </c>
      <c r="L16" s="22" t="n"/>
      <c r="M16" s="24">
        <f>IF(AND(ISNUMBER(I16),ISNUMBER(L16)),I16-L16,"")</f>
        <v/>
      </c>
      <c r="N16" s="25">
        <f>IF(AND(C16="",E16=""),"",IF(AND(H16&lt;&gt;"",NOT(ISNUMBER(H16))),"Cek Harga Manual",IF(AND(F16="-",NOT(ISNUMBER(H16))),"Isi Harga Manual",IF(F16="-","HPP akan dihapus",IF(AND(F16&lt;&gt;"",NOT(ISNUMBER(F16))),"Cek HPP",IF(AND(ISNUMBER(G16),OR(G16&lt;0,G16&gt;20)),"Cek Markup",IF(NOT(ISNUMBER(I16)),"Harga belum ada",IF(F16="","HPP kosong",IF(F16=0,"HPP 0, cek",IF(I16&lt;=F16,"RUGI / impas",IF(NOT(ISNUMBER(L16)),"Baru",IF(M16=0,"OK",IF(ABS(M16)&gt;=0.3*L16,"Berubah besar","Harga berubah")))))))))))))</f>
        <v/>
      </c>
      <c r="O16" s="18" t="n"/>
      <c r="P16" s="18" t="n"/>
      <c r="Q16" s="26" t="n"/>
    </row>
    <row r="17">
      <c r="A17" s="17" t="n"/>
      <c r="B17" s="18" t="n"/>
      <c r="C17" s="19" t="n"/>
      <c r="D17" s="19" t="n"/>
      <c r="E17" s="19" t="n"/>
      <c r="F17" s="20" t="n"/>
      <c r="G17" s="21" t="n"/>
      <c r="H17" s="20" t="n"/>
      <c r="I17" s="22">
        <f>IF(ISNUMBER(H17),H17,IF(AND(ISNUMBER(F17),ISNUMBER(G17)),CEILING(ROUND(F17*(1+G17),2),1000),""))</f>
        <v/>
      </c>
      <c r="J17" s="22">
        <f>IF(AND(ISNUMBER(I17),ISNUMBER(F17)),I17-F17,"")</f>
        <v/>
      </c>
      <c r="K17" s="23">
        <f>IF(AND(ISNUMBER(I17),ISNUMBER(F17)),IF(I17=0,"",(I17-F17)/I17),"")</f>
        <v/>
      </c>
      <c r="L17" s="22" t="n"/>
      <c r="M17" s="24">
        <f>IF(AND(ISNUMBER(I17),ISNUMBER(L17)),I17-L17,"")</f>
        <v/>
      </c>
      <c r="N17" s="25">
        <f>IF(AND(C17="",E17=""),"",IF(AND(H17&lt;&gt;"",NOT(ISNUMBER(H17))),"Cek Harga Manual",IF(AND(F17="-",NOT(ISNUMBER(H17))),"Isi Harga Manual",IF(F17="-","HPP akan dihapus",IF(AND(F17&lt;&gt;"",NOT(ISNUMBER(F17))),"Cek HPP",IF(AND(ISNUMBER(G17),OR(G17&lt;0,G17&gt;20)),"Cek Markup",IF(NOT(ISNUMBER(I17)),"Harga belum ada",IF(F17="","HPP kosong",IF(F17=0,"HPP 0, cek",IF(I17&lt;=F17,"RUGI / impas",IF(NOT(ISNUMBER(L17)),"Baru",IF(M17=0,"OK",IF(ABS(M17)&gt;=0.3*L17,"Berubah besar","Harga berubah")))))))))))))</f>
        <v/>
      </c>
      <c r="O17" s="18" t="n"/>
      <c r="P17" s="18" t="n"/>
      <c r="Q17" s="26" t="n"/>
    </row>
    <row r="18">
      <c r="A18" s="17" t="n"/>
      <c r="B18" s="18" t="n"/>
      <c r="C18" s="19" t="n"/>
      <c r="D18" s="19" t="n"/>
      <c r="E18" s="19" t="n"/>
      <c r="F18" s="20" t="n"/>
      <c r="G18" s="21" t="n"/>
      <c r="H18" s="20" t="n"/>
      <c r="I18" s="22">
        <f>IF(ISNUMBER(H18),H18,IF(AND(ISNUMBER(F18),ISNUMBER(G18)),CEILING(ROUND(F18*(1+G18),2),1000),""))</f>
        <v/>
      </c>
      <c r="J18" s="22">
        <f>IF(AND(ISNUMBER(I18),ISNUMBER(F18)),I18-F18,"")</f>
        <v/>
      </c>
      <c r="K18" s="23">
        <f>IF(AND(ISNUMBER(I18),ISNUMBER(F18)),IF(I18=0,"",(I18-F18)/I18),"")</f>
        <v/>
      </c>
      <c r="L18" s="22" t="n"/>
      <c r="M18" s="24">
        <f>IF(AND(ISNUMBER(I18),ISNUMBER(L18)),I18-L18,"")</f>
        <v/>
      </c>
      <c r="N18" s="25">
        <f>IF(AND(C18="",E18=""),"",IF(AND(H18&lt;&gt;"",NOT(ISNUMBER(H18))),"Cek Harga Manual",IF(AND(F18="-",NOT(ISNUMBER(H18))),"Isi Harga Manual",IF(F18="-","HPP akan dihapus",IF(AND(F18&lt;&gt;"",NOT(ISNUMBER(F18))),"Cek HPP",IF(AND(ISNUMBER(G18),OR(G18&lt;0,G18&gt;20)),"Cek Markup",IF(NOT(ISNUMBER(I18)),"Harga belum ada",IF(F18="","HPP kosong",IF(F18=0,"HPP 0, cek",IF(I18&lt;=F18,"RUGI / impas",IF(NOT(ISNUMBER(L18)),"Baru",IF(M18=0,"OK",IF(ABS(M18)&gt;=0.3*L18,"Berubah besar","Harga berubah")))))))))))))</f>
        <v/>
      </c>
      <c r="O18" s="18" t="n"/>
      <c r="P18" s="18" t="n"/>
      <c r="Q18" s="26" t="n"/>
    </row>
    <row r="19">
      <c r="A19" s="17" t="n"/>
      <c r="B19" s="18" t="n"/>
      <c r="C19" s="19" t="n"/>
      <c r="D19" s="19" t="n"/>
      <c r="E19" s="19" t="n"/>
      <c r="F19" s="20" t="n"/>
      <c r="G19" s="21" t="n"/>
      <c r="H19" s="20" t="n"/>
      <c r="I19" s="22">
        <f>IF(ISNUMBER(H19),H19,IF(AND(ISNUMBER(F19),ISNUMBER(G19)),CEILING(ROUND(F19*(1+G19),2),1000),""))</f>
        <v/>
      </c>
      <c r="J19" s="22">
        <f>IF(AND(ISNUMBER(I19),ISNUMBER(F19)),I19-F19,"")</f>
        <v/>
      </c>
      <c r="K19" s="23">
        <f>IF(AND(ISNUMBER(I19),ISNUMBER(F19)),IF(I19=0,"",(I19-F19)/I19),"")</f>
        <v/>
      </c>
      <c r="L19" s="22" t="n"/>
      <c r="M19" s="24">
        <f>IF(AND(ISNUMBER(I19),ISNUMBER(L19)),I19-L19,"")</f>
        <v/>
      </c>
      <c r="N19" s="25">
        <f>IF(AND(C19="",E19=""),"",IF(AND(H19&lt;&gt;"",NOT(ISNUMBER(H19))),"Cek Harga Manual",IF(AND(F19="-",NOT(ISNUMBER(H19))),"Isi Harga Manual",IF(F19="-","HPP akan dihapus",IF(AND(F19&lt;&gt;"",NOT(ISNUMBER(F19))),"Cek HPP",IF(AND(ISNUMBER(G19),OR(G19&lt;0,G19&gt;20)),"Cek Markup",IF(NOT(ISNUMBER(I19)),"Harga belum ada",IF(F19="","HPP kosong",IF(F19=0,"HPP 0, cek",IF(I19&lt;=F19,"RUGI / impas",IF(NOT(ISNUMBER(L19)),"Baru",IF(M19=0,"OK",IF(ABS(M19)&gt;=0.3*L19,"Berubah besar","Harga berubah")))))))))))))</f>
        <v/>
      </c>
      <c r="O19" s="18" t="n"/>
      <c r="P19" s="18" t="n"/>
      <c r="Q19" s="26" t="n"/>
    </row>
    <row r="20">
      <c r="A20" s="17" t="n"/>
      <c r="B20" s="18" t="n"/>
      <c r="C20" s="19" t="n"/>
      <c r="D20" s="19" t="n"/>
      <c r="E20" s="19" t="n"/>
      <c r="F20" s="20" t="n"/>
      <c r="G20" s="21" t="n"/>
      <c r="H20" s="20" t="n"/>
      <c r="I20" s="22">
        <f>IF(ISNUMBER(H20),H20,IF(AND(ISNUMBER(F20),ISNUMBER(G20)),CEILING(ROUND(F20*(1+G20),2),1000),""))</f>
        <v/>
      </c>
      <c r="J20" s="22">
        <f>IF(AND(ISNUMBER(I20),ISNUMBER(F20)),I20-F20,"")</f>
        <v/>
      </c>
      <c r="K20" s="23">
        <f>IF(AND(ISNUMBER(I20),ISNUMBER(F20)),IF(I20=0,"",(I20-F20)/I20),"")</f>
        <v/>
      </c>
      <c r="L20" s="22" t="n"/>
      <c r="M20" s="24">
        <f>IF(AND(ISNUMBER(I20),ISNUMBER(L20)),I20-L20,"")</f>
        <v/>
      </c>
      <c r="N20" s="25">
        <f>IF(AND(C20="",E20=""),"",IF(AND(H20&lt;&gt;"",NOT(ISNUMBER(H20))),"Cek Harga Manual",IF(AND(F20="-",NOT(ISNUMBER(H20))),"Isi Harga Manual",IF(F20="-","HPP akan dihapus",IF(AND(F20&lt;&gt;"",NOT(ISNUMBER(F20))),"Cek HPP",IF(AND(ISNUMBER(G20),OR(G20&lt;0,G20&gt;20)),"Cek Markup",IF(NOT(ISNUMBER(I20)),"Harga belum ada",IF(F20="","HPP kosong",IF(F20=0,"HPP 0, cek",IF(I20&lt;=F20,"RUGI / impas",IF(NOT(ISNUMBER(L20)),"Baru",IF(M20=0,"OK",IF(ABS(M20)&gt;=0.3*L20,"Berubah besar","Harga berubah")))))))))))))</f>
        <v/>
      </c>
      <c r="O20" s="18" t="n"/>
      <c r="P20" s="18" t="n"/>
      <c r="Q20" s="26" t="n"/>
    </row>
    <row r="21">
      <c r="A21" s="17" t="n"/>
      <c r="B21" s="18" t="n"/>
      <c r="C21" s="19" t="n"/>
      <c r="D21" s="19" t="n"/>
      <c r="E21" s="19" t="n"/>
      <c r="F21" s="20" t="n"/>
      <c r="G21" s="21" t="n"/>
      <c r="H21" s="20" t="n"/>
      <c r="I21" s="22">
        <f>IF(ISNUMBER(H21),H21,IF(AND(ISNUMBER(F21),ISNUMBER(G21)),CEILING(ROUND(F21*(1+G21),2),1000),""))</f>
        <v/>
      </c>
      <c r="J21" s="22">
        <f>IF(AND(ISNUMBER(I21),ISNUMBER(F21)),I21-F21,"")</f>
        <v/>
      </c>
      <c r="K21" s="23">
        <f>IF(AND(ISNUMBER(I21),ISNUMBER(F21)),IF(I21=0,"",(I21-F21)/I21),"")</f>
        <v/>
      </c>
      <c r="L21" s="22" t="n"/>
      <c r="M21" s="24">
        <f>IF(AND(ISNUMBER(I21),ISNUMBER(L21)),I21-L21,"")</f>
        <v/>
      </c>
      <c r="N21" s="25">
        <f>IF(AND(C21="",E21=""),"",IF(AND(H21&lt;&gt;"",NOT(ISNUMBER(H21))),"Cek Harga Manual",IF(AND(F21="-",NOT(ISNUMBER(H21))),"Isi Harga Manual",IF(F21="-","HPP akan dihapus",IF(AND(F21&lt;&gt;"",NOT(ISNUMBER(F21))),"Cek HPP",IF(AND(ISNUMBER(G21),OR(G21&lt;0,G21&gt;20)),"Cek Markup",IF(NOT(ISNUMBER(I21)),"Harga belum ada",IF(F21="","HPP kosong",IF(F21=0,"HPP 0, cek",IF(I21&lt;=F21,"RUGI / impas",IF(NOT(ISNUMBER(L21)),"Baru",IF(M21=0,"OK",IF(ABS(M21)&gt;=0.3*L21,"Berubah besar","Harga berubah")))))))))))))</f>
        <v/>
      </c>
      <c r="O21" s="18" t="n"/>
      <c r="P21" s="18" t="n"/>
      <c r="Q21" s="26" t="n"/>
    </row>
    <row r="22">
      <c r="A22" s="17" t="n"/>
      <c r="B22" s="18" t="n"/>
      <c r="C22" s="19" t="n"/>
      <c r="D22" s="19" t="n"/>
      <c r="E22" s="19" t="n"/>
      <c r="F22" s="20" t="n"/>
      <c r="G22" s="21" t="n"/>
      <c r="H22" s="20" t="n"/>
      <c r="I22" s="22">
        <f>IF(ISNUMBER(H22),H22,IF(AND(ISNUMBER(F22),ISNUMBER(G22)),CEILING(ROUND(F22*(1+G22),2),1000),""))</f>
        <v/>
      </c>
      <c r="J22" s="22">
        <f>IF(AND(ISNUMBER(I22),ISNUMBER(F22)),I22-F22,"")</f>
        <v/>
      </c>
      <c r="K22" s="23">
        <f>IF(AND(ISNUMBER(I22),ISNUMBER(F22)),IF(I22=0,"",(I22-F22)/I22),"")</f>
        <v/>
      </c>
      <c r="L22" s="22" t="n"/>
      <c r="M22" s="24">
        <f>IF(AND(ISNUMBER(I22),ISNUMBER(L22)),I22-L22,"")</f>
        <v/>
      </c>
      <c r="N22" s="25">
        <f>IF(AND(C22="",E22=""),"",IF(AND(H22&lt;&gt;"",NOT(ISNUMBER(H22))),"Cek Harga Manual",IF(AND(F22="-",NOT(ISNUMBER(H22))),"Isi Harga Manual",IF(F22="-","HPP akan dihapus",IF(AND(F22&lt;&gt;"",NOT(ISNUMBER(F22))),"Cek HPP",IF(AND(ISNUMBER(G22),OR(G22&lt;0,G22&gt;20)),"Cek Markup",IF(NOT(ISNUMBER(I22)),"Harga belum ada",IF(F22="","HPP kosong",IF(F22=0,"HPP 0, cek",IF(I22&lt;=F22,"RUGI / impas",IF(NOT(ISNUMBER(L22)),"Baru",IF(M22=0,"OK",IF(ABS(M22)&gt;=0.3*L22,"Berubah besar","Harga berubah")))))))))))))</f>
        <v/>
      </c>
      <c r="O22" s="18" t="n"/>
      <c r="P22" s="18" t="n"/>
      <c r="Q22" s="26" t="n"/>
    </row>
    <row r="23">
      <c r="A23" s="17" t="n"/>
      <c r="B23" s="18" t="n"/>
      <c r="C23" s="19" t="n"/>
      <c r="D23" s="19" t="n"/>
      <c r="E23" s="19" t="n"/>
      <c r="F23" s="20" t="n"/>
      <c r="G23" s="21" t="n"/>
      <c r="H23" s="20" t="n"/>
      <c r="I23" s="22">
        <f>IF(ISNUMBER(H23),H23,IF(AND(ISNUMBER(F23),ISNUMBER(G23)),CEILING(ROUND(F23*(1+G23),2),1000),""))</f>
        <v/>
      </c>
      <c r="J23" s="22">
        <f>IF(AND(ISNUMBER(I23),ISNUMBER(F23)),I23-F23,"")</f>
        <v/>
      </c>
      <c r="K23" s="23">
        <f>IF(AND(ISNUMBER(I23),ISNUMBER(F23)),IF(I23=0,"",(I23-F23)/I23),"")</f>
        <v/>
      </c>
      <c r="L23" s="22" t="n"/>
      <c r="M23" s="24">
        <f>IF(AND(ISNUMBER(I23),ISNUMBER(L23)),I23-L23,"")</f>
        <v/>
      </c>
      <c r="N23" s="25">
        <f>IF(AND(C23="",E23=""),"",IF(AND(H23&lt;&gt;"",NOT(ISNUMBER(H23))),"Cek Harga Manual",IF(AND(F23="-",NOT(ISNUMBER(H23))),"Isi Harga Manual",IF(F23="-","HPP akan dihapus",IF(AND(F23&lt;&gt;"",NOT(ISNUMBER(F23))),"Cek HPP",IF(AND(ISNUMBER(G23),OR(G23&lt;0,G23&gt;20)),"Cek Markup",IF(NOT(ISNUMBER(I23)),"Harga belum ada",IF(F23="","HPP kosong",IF(F23=0,"HPP 0, cek",IF(I23&lt;=F23,"RUGI / impas",IF(NOT(ISNUMBER(L23)),"Baru",IF(M23=0,"OK",IF(ABS(M23)&gt;=0.3*L23,"Berubah besar","Harga berubah")))))))))))))</f>
        <v/>
      </c>
      <c r="O23" s="18" t="n"/>
      <c r="P23" s="18" t="n"/>
      <c r="Q23" s="26" t="n"/>
    </row>
    <row r="24">
      <c r="A24" s="17" t="n"/>
      <c r="B24" s="18" t="n"/>
      <c r="C24" s="19" t="n"/>
      <c r="D24" s="19" t="n"/>
      <c r="E24" s="19" t="n"/>
      <c r="F24" s="20" t="n"/>
      <c r="G24" s="21" t="n"/>
      <c r="H24" s="20" t="n"/>
      <c r="I24" s="22">
        <f>IF(ISNUMBER(H24),H24,IF(AND(ISNUMBER(F24),ISNUMBER(G24)),CEILING(ROUND(F24*(1+G24),2),1000),""))</f>
        <v/>
      </c>
      <c r="J24" s="22">
        <f>IF(AND(ISNUMBER(I24),ISNUMBER(F24)),I24-F24,"")</f>
        <v/>
      </c>
      <c r="K24" s="23">
        <f>IF(AND(ISNUMBER(I24),ISNUMBER(F24)),IF(I24=0,"",(I24-F24)/I24),"")</f>
        <v/>
      </c>
      <c r="L24" s="22" t="n"/>
      <c r="M24" s="24">
        <f>IF(AND(ISNUMBER(I24),ISNUMBER(L24)),I24-L24,"")</f>
        <v/>
      </c>
      <c r="N24" s="25">
        <f>IF(AND(C24="",E24=""),"",IF(AND(H24&lt;&gt;"",NOT(ISNUMBER(H24))),"Cek Harga Manual",IF(AND(F24="-",NOT(ISNUMBER(H24))),"Isi Harga Manual",IF(F24="-","HPP akan dihapus",IF(AND(F24&lt;&gt;"",NOT(ISNUMBER(F24))),"Cek HPP",IF(AND(ISNUMBER(G24),OR(G24&lt;0,G24&gt;20)),"Cek Markup",IF(NOT(ISNUMBER(I24)),"Harga belum ada",IF(F24="","HPP kosong",IF(F24=0,"HPP 0, cek",IF(I24&lt;=F24,"RUGI / impas",IF(NOT(ISNUMBER(L24)),"Baru",IF(M24=0,"OK",IF(ABS(M24)&gt;=0.3*L24,"Berubah besar","Harga berubah")))))))))))))</f>
        <v/>
      </c>
      <c r="O24" s="18" t="n"/>
      <c r="P24" s="18" t="n"/>
      <c r="Q24" s="26" t="n"/>
    </row>
    <row r="25">
      <c r="A25" s="17" t="n"/>
      <c r="B25" s="18" t="n"/>
      <c r="C25" s="19" t="n"/>
      <c r="D25" s="19" t="n"/>
      <c r="E25" s="19" t="n"/>
      <c r="F25" s="20" t="n"/>
      <c r="G25" s="21" t="n"/>
      <c r="H25" s="20" t="n"/>
      <c r="I25" s="22">
        <f>IF(ISNUMBER(H25),H25,IF(AND(ISNUMBER(F25),ISNUMBER(G25)),CEILING(ROUND(F25*(1+G25),2),1000),""))</f>
        <v/>
      </c>
      <c r="J25" s="22">
        <f>IF(AND(ISNUMBER(I25),ISNUMBER(F25)),I25-F25,"")</f>
        <v/>
      </c>
      <c r="K25" s="23">
        <f>IF(AND(ISNUMBER(I25),ISNUMBER(F25)),IF(I25=0,"",(I25-F25)/I25),"")</f>
        <v/>
      </c>
      <c r="L25" s="22" t="n"/>
      <c r="M25" s="24">
        <f>IF(AND(ISNUMBER(I25),ISNUMBER(L25)),I25-L25,"")</f>
        <v/>
      </c>
      <c r="N25" s="25">
        <f>IF(AND(C25="",E25=""),"",IF(AND(H25&lt;&gt;"",NOT(ISNUMBER(H25))),"Cek Harga Manual",IF(AND(F25="-",NOT(ISNUMBER(H25))),"Isi Harga Manual",IF(F25="-","HPP akan dihapus",IF(AND(F25&lt;&gt;"",NOT(ISNUMBER(F25))),"Cek HPP",IF(AND(ISNUMBER(G25),OR(G25&lt;0,G25&gt;20)),"Cek Markup",IF(NOT(ISNUMBER(I25)),"Harga belum ada",IF(F25="","HPP kosong",IF(F25=0,"HPP 0, cek",IF(I25&lt;=F25,"RUGI / impas",IF(NOT(ISNUMBER(L25)),"Baru",IF(M25=0,"OK",IF(ABS(M25)&gt;=0.3*L25,"Berubah besar","Harga berubah")))))))))))))</f>
        <v/>
      </c>
      <c r="O25" s="18" t="n"/>
      <c r="P25" s="18" t="n"/>
      <c r="Q25" s="26" t="n"/>
    </row>
    <row r="26">
      <c r="A26" s="17" t="n"/>
      <c r="B26" s="18" t="n"/>
      <c r="C26" s="19" t="n"/>
      <c r="D26" s="19" t="n"/>
      <c r="E26" s="19" t="n"/>
      <c r="F26" s="20" t="n"/>
      <c r="G26" s="21" t="n"/>
      <c r="H26" s="20" t="n"/>
      <c r="I26" s="22">
        <f>IF(ISNUMBER(H26),H26,IF(AND(ISNUMBER(F26),ISNUMBER(G26)),CEILING(ROUND(F26*(1+G26),2),1000),""))</f>
        <v/>
      </c>
      <c r="J26" s="22">
        <f>IF(AND(ISNUMBER(I26),ISNUMBER(F26)),I26-F26,"")</f>
        <v/>
      </c>
      <c r="K26" s="23">
        <f>IF(AND(ISNUMBER(I26),ISNUMBER(F26)),IF(I26=0,"",(I26-F26)/I26),"")</f>
        <v/>
      </c>
      <c r="L26" s="22" t="n"/>
      <c r="M26" s="24">
        <f>IF(AND(ISNUMBER(I26),ISNUMBER(L26)),I26-L26,"")</f>
        <v/>
      </c>
      <c r="N26" s="25">
        <f>IF(AND(C26="",E26=""),"",IF(AND(H26&lt;&gt;"",NOT(ISNUMBER(H26))),"Cek Harga Manual",IF(AND(F26="-",NOT(ISNUMBER(H26))),"Isi Harga Manual",IF(F26="-","HPP akan dihapus",IF(AND(F26&lt;&gt;"",NOT(ISNUMBER(F26))),"Cek HPP",IF(AND(ISNUMBER(G26),OR(G26&lt;0,G26&gt;20)),"Cek Markup",IF(NOT(ISNUMBER(I26)),"Harga belum ada",IF(F26="","HPP kosong",IF(F26=0,"HPP 0, cek",IF(I26&lt;=F26,"RUGI / impas",IF(NOT(ISNUMBER(L26)),"Baru",IF(M26=0,"OK",IF(ABS(M26)&gt;=0.3*L26,"Berubah besar","Harga berubah")))))))))))))</f>
        <v/>
      </c>
      <c r="O26" s="18" t="n"/>
      <c r="P26" s="18" t="n"/>
      <c r="Q26" s="26" t="n"/>
    </row>
    <row r="27">
      <c r="A27" s="17" t="n"/>
      <c r="B27" s="18" t="n"/>
      <c r="C27" s="19" t="n"/>
      <c r="D27" s="19" t="n"/>
      <c r="E27" s="19" t="n"/>
      <c r="F27" s="20" t="n"/>
      <c r="G27" s="21" t="n"/>
      <c r="H27" s="20" t="n"/>
      <c r="I27" s="22">
        <f>IF(ISNUMBER(H27),H27,IF(AND(ISNUMBER(F27),ISNUMBER(G27)),CEILING(ROUND(F27*(1+G27),2),1000),""))</f>
        <v/>
      </c>
      <c r="J27" s="22">
        <f>IF(AND(ISNUMBER(I27),ISNUMBER(F27)),I27-F27,"")</f>
        <v/>
      </c>
      <c r="K27" s="23">
        <f>IF(AND(ISNUMBER(I27),ISNUMBER(F27)),IF(I27=0,"",(I27-F27)/I27),"")</f>
        <v/>
      </c>
      <c r="L27" s="22" t="n"/>
      <c r="M27" s="24">
        <f>IF(AND(ISNUMBER(I27),ISNUMBER(L27)),I27-L27,"")</f>
        <v/>
      </c>
      <c r="N27" s="25">
        <f>IF(AND(C27="",E27=""),"",IF(AND(H27&lt;&gt;"",NOT(ISNUMBER(H27))),"Cek Harga Manual",IF(AND(F27="-",NOT(ISNUMBER(H27))),"Isi Harga Manual",IF(F27="-","HPP akan dihapus",IF(AND(F27&lt;&gt;"",NOT(ISNUMBER(F27))),"Cek HPP",IF(AND(ISNUMBER(G27),OR(G27&lt;0,G27&gt;20)),"Cek Markup",IF(NOT(ISNUMBER(I27)),"Harga belum ada",IF(F27="","HPP kosong",IF(F27=0,"HPP 0, cek",IF(I27&lt;=F27,"RUGI / impas",IF(NOT(ISNUMBER(L27)),"Baru",IF(M27=0,"OK",IF(ABS(M27)&gt;=0.3*L27,"Berubah besar","Harga berubah")))))))))))))</f>
        <v/>
      </c>
      <c r="O27" s="18" t="n"/>
      <c r="P27" s="18" t="n"/>
      <c r="Q27" s="26" t="n"/>
    </row>
    <row r="28">
      <c r="A28" s="17" t="n"/>
      <c r="B28" s="18" t="n"/>
      <c r="C28" s="19" t="n"/>
      <c r="D28" s="19" t="n"/>
      <c r="E28" s="19" t="n"/>
      <c r="F28" s="20" t="n"/>
      <c r="G28" s="21" t="n"/>
      <c r="H28" s="20" t="n"/>
      <c r="I28" s="22">
        <f>IF(ISNUMBER(H28),H28,IF(AND(ISNUMBER(F28),ISNUMBER(G28)),CEILING(ROUND(F28*(1+G28),2),1000),""))</f>
        <v/>
      </c>
      <c r="J28" s="22">
        <f>IF(AND(ISNUMBER(I28),ISNUMBER(F28)),I28-F28,"")</f>
        <v/>
      </c>
      <c r="K28" s="23">
        <f>IF(AND(ISNUMBER(I28),ISNUMBER(F28)),IF(I28=0,"",(I28-F28)/I28),"")</f>
        <v/>
      </c>
      <c r="L28" s="22" t="n"/>
      <c r="M28" s="24">
        <f>IF(AND(ISNUMBER(I28),ISNUMBER(L28)),I28-L28,"")</f>
        <v/>
      </c>
      <c r="N28" s="25">
        <f>IF(AND(C28="",E28=""),"",IF(AND(H28&lt;&gt;"",NOT(ISNUMBER(H28))),"Cek Harga Manual",IF(AND(F28="-",NOT(ISNUMBER(H28))),"Isi Harga Manual",IF(F28="-","HPP akan dihapus",IF(AND(F28&lt;&gt;"",NOT(ISNUMBER(F28))),"Cek HPP",IF(AND(ISNUMBER(G28),OR(G28&lt;0,G28&gt;20)),"Cek Markup",IF(NOT(ISNUMBER(I28)),"Harga belum ada",IF(F28="","HPP kosong",IF(F28=0,"HPP 0, cek",IF(I28&lt;=F28,"RUGI / impas",IF(NOT(ISNUMBER(L28)),"Baru",IF(M28=0,"OK",IF(ABS(M28)&gt;=0.3*L28,"Berubah besar","Harga berubah")))))))))))))</f>
        <v/>
      </c>
      <c r="O28" s="18" t="n"/>
      <c r="P28" s="18" t="n"/>
      <c r="Q28" s="26" t="n"/>
    </row>
    <row r="29">
      <c r="A29" s="17" t="n"/>
      <c r="B29" s="18" t="n"/>
      <c r="C29" s="19" t="n"/>
      <c r="D29" s="19" t="n"/>
      <c r="E29" s="19" t="n"/>
      <c r="F29" s="20" t="n"/>
      <c r="G29" s="21" t="n"/>
      <c r="H29" s="20" t="n"/>
      <c r="I29" s="22">
        <f>IF(ISNUMBER(H29),H29,IF(AND(ISNUMBER(F29),ISNUMBER(G29)),CEILING(ROUND(F29*(1+G29),2),1000),""))</f>
        <v/>
      </c>
      <c r="J29" s="22">
        <f>IF(AND(ISNUMBER(I29),ISNUMBER(F29)),I29-F29,"")</f>
        <v/>
      </c>
      <c r="K29" s="23">
        <f>IF(AND(ISNUMBER(I29),ISNUMBER(F29)),IF(I29=0,"",(I29-F29)/I29),"")</f>
        <v/>
      </c>
      <c r="L29" s="22" t="n"/>
      <c r="M29" s="24">
        <f>IF(AND(ISNUMBER(I29),ISNUMBER(L29)),I29-L29,"")</f>
        <v/>
      </c>
      <c r="N29" s="25">
        <f>IF(AND(C29="",E29=""),"",IF(AND(H29&lt;&gt;"",NOT(ISNUMBER(H29))),"Cek Harga Manual",IF(AND(F29="-",NOT(ISNUMBER(H29))),"Isi Harga Manual",IF(F29="-","HPP akan dihapus",IF(AND(F29&lt;&gt;"",NOT(ISNUMBER(F29))),"Cek HPP",IF(AND(ISNUMBER(G29),OR(G29&lt;0,G29&gt;20)),"Cek Markup",IF(NOT(ISNUMBER(I29)),"Harga belum ada",IF(F29="","HPP kosong",IF(F29=0,"HPP 0, cek",IF(I29&lt;=F29,"RUGI / impas",IF(NOT(ISNUMBER(L29)),"Baru",IF(M29=0,"OK",IF(ABS(M29)&gt;=0.3*L29,"Berubah besar","Harga berubah")))))))))))))</f>
        <v/>
      </c>
      <c r="O29" s="18" t="n"/>
      <c r="P29" s="18" t="n"/>
      <c r="Q29" s="26" t="n"/>
    </row>
    <row r="30">
      <c r="A30" s="17" t="n"/>
      <c r="B30" s="18" t="n"/>
      <c r="C30" s="19" t="n"/>
      <c r="D30" s="19" t="n"/>
      <c r="E30" s="19" t="n"/>
      <c r="F30" s="20" t="n"/>
      <c r="G30" s="21" t="n"/>
      <c r="H30" s="20" t="n"/>
      <c r="I30" s="22">
        <f>IF(ISNUMBER(H30),H30,IF(AND(ISNUMBER(F30),ISNUMBER(G30)),CEILING(ROUND(F30*(1+G30),2),1000),""))</f>
        <v/>
      </c>
      <c r="J30" s="22">
        <f>IF(AND(ISNUMBER(I30),ISNUMBER(F30)),I30-F30,"")</f>
        <v/>
      </c>
      <c r="K30" s="23">
        <f>IF(AND(ISNUMBER(I30),ISNUMBER(F30)),IF(I30=0,"",(I30-F30)/I30),"")</f>
        <v/>
      </c>
      <c r="L30" s="22" t="n"/>
      <c r="M30" s="24">
        <f>IF(AND(ISNUMBER(I30),ISNUMBER(L30)),I30-L30,"")</f>
        <v/>
      </c>
      <c r="N30" s="25">
        <f>IF(AND(C30="",E30=""),"",IF(AND(H30&lt;&gt;"",NOT(ISNUMBER(H30))),"Cek Harga Manual",IF(AND(F30="-",NOT(ISNUMBER(H30))),"Isi Harga Manual",IF(F30="-","HPP akan dihapus",IF(AND(F30&lt;&gt;"",NOT(ISNUMBER(F30))),"Cek HPP",IF(AND(ISNUMBER(G30),OR(G30&lt;0,G30&gt;20)),"Cek Markup",IF(NOT(ISNUMBER(I30)),"Harga belum ada",IF(F30="","HPP kosong",IF(F30=0,"HPP 0, cek",IF(I30&lt;=F30,"RUGI / impas",IF(NOT(ISNUMBER(L30)),"Baru",IF(M30=0,"OK",IF(ABS(M30)&gt;=0.3*L30,"Berubah besar","Harga berubah")))))))))))))</f>
        <v/>
      </c>
      <c r="O30" s="18" t="n"/>
      <c r="P30" s="18" t="n"/>
      <c r="Q30" s="26" t="n"/>
    </row>
    <row r="31">
      <c r="A31" s="17" t="n"/>
      <c r="B31" s="18" t="n"/>
      <c r="C31" s="19" t="n"/>
      <c r="D31" s="19" t="n"/>
      <c r="E31" s="19" t="n"/>
      <c r="F31" s="20" t="n"/>
      <c r="G31" s="21" t="n"/>
      <c r="H31" s="20" t="n"/>
      <c r="I31" s="22">
        <f>IF(ISNUMBER(H31),H31,IF(AND(ISNUMBER(F31),ISNUMBER(G31)),CEILING(ROUND(F31*(1+G31),2),1000),""))</f>
        <v/>
      </c>
      <c r="J31" s="22">
        <f>IF(AND(ISNUMBER(I31),ISNUMBER(F31)),I31-F31,"")</f>
        <v/>
      </c>
      <c r="K31" s="23">
        <f>IF(AND(ISNUMBER(I31),ISNUMBER(F31)),IF(I31=0,"",(I31-F31)/I31),"")</f>
        <v/>
      </c>
      <c r="L31" s="22" t="n"/>
      <c r="M31" s="24">
        <f>IF(AND(ISNUMBER(I31),ISNUMBER(L31)),I31-L31,"")</f>
        <v/>
      </c>
      <c r="N31" s="25">
        <f>IF(AND(C31="",E31=""),"",IF(AND(H31&lt;&gt;"",NOT(ISNUMBER(H31))),"Cek Harga Manual",IF(AND(F31="-",NOT(ISNUMBER(H31))),"Isi Harga Manual",IF(F31="-","HPP akan dihapus",IF(AND(F31&lt;&gt;"",NOT(ISNUMBER(F31))),"Cek HPP",IF(AND(ISNUMBER(G31),OR(G31&lt;0,G31&gt;20)),"Cek Markup",IF(NOT(ISNUMBER(I31)),"Harga belum ada",IF(F31="","HPP kosong",IF(F31=0,"HPP 0, cek",IF(I31&lt;=F31,"RUGI / impas",IF(NOT(ISNUMBER(L31)),"Baru",IF(M31=0,"OK",IF(ABS(M31)&gt;=0.3*L31,"Berubah besar","Harga berubah")))))))))))))</f>
        <v/>
      </c>
      <c r="O31" s="18" t="n"/>
      <c r="P31" s="18" t="n"/>
      <c r="Q31" s="26" t="n"/>
    </row>
    <row r="32">
      <c r="A32" s="17" t="n"/>
      <c r="B32" s="18" t="n"/>
      <c r="C32" s="19" t="n"/>
      <c r="D32" s="19" t="n"/>
      <c r="E32" s="19" t="n"/>
      <c r="F32" s="20" t="n"/>
      <c r="G32" s="21" t="n"/>
      <c r="H32" s="20" t="n"/>
      <c r="I32" s="22">
        <f>IF(ISNUMBER(H32),H32,IF(AND(ISNUMBER(F32),ISNUMBER(G32)),CEILING(ROUND(F32*(1+G32),2),1000),""))</f>
        <v/>
      </c>
      <c r="J32" s="22">
        <f>IF(AND(ISNUMBER(I32),ISNUMBER(F32)),I32-F32,"")</f>
        <v/>
      </c>
      <c r="K32" s="23">
        <f>IF(AND(ISNUMBER(I32),ISNUMBER(F32)),IF(I32=0,"",(I32-F32)/I32),"")</f>
        <v/>
      </c>
      <c r="L32" s="22" t="n"/>
      <c r="M32" s="24">
        <f>IF(AND(ISNUMBER(I32),ISNUMBER(L32)),I32-L32,"")</f>
        <v/>
      </c>
      <c r="N32" s="25">
        <f>IF(AND(C32="",E32=""),"",IF(AND(H32&lt;&gt;"",NOT(ISNUMBER(H32))),"Cek Harga Manual",IF(AND(F32="-",NOT(ISNUMBER(H32))),"Isi Harga Manual",IF(F32="-","HPP akan dihapus",IF(AND(F32&lt;&gt;"",NOT(ISNUMBER(F32))),"Cek HPP",IF(AND(ISNUMBER(G32),OR(G32&lt;0,G32&gt;20)),"Cek Markup",IF(NOT(ISNUMBER(I32)),"Harga belum ada",IF(F32="","HPP kosong",IF(F32=0,"HPP 0, cek",IF(I32&lt;=F32,"RUGI / impas",IF(NOT(ISNUMBER(L32)),"Baru",IF(M32=0,"OK",IF(ABS(M32)&gt;=0.3*L32,"Berubah besar","Harga berubah")))))))))))))</f>
        <v/>
      </c>
      <c r="O32" s="18" t="n"/>
      <c r="P32" s="18" t="n"/>
      <c r="Q32" s="26" t="n"/>
    </row>
    <row r="33">
      <c r="A33" s="17" t="n"/>
      <c r="B33" s="18" t="n"/>
      <c r="C33" s="19" t="n"/>
      <c r="D33" s="19" t="n"/>
      <c r="E33" s="19" t="n"/>
      <c r="F33" s="20" t="n"/>
      <c r="G33" s="21" t="n"/>
      <c r="H33" s="20" t="n"/>
      <c r="I33" s="22">
        <f>IF(ISNUMBER(H33),H33,IF(AND(ISNUMBER(F33),ISNUMBER(G33)),CEILING(ROUND(F33*(1+G33),2),1000),""))</f>
        <v/>
      </c>
      <c r="J33" s="22">
        <f>IF(AND(ISNUMBER(I33),ISNUMBER(F33)),I33-F33,"")</f>
        <v/>
      </c>
      <c r="K33" s="23">
        <f>IF(AND(ISNUMBER(I33),ISNUMBER(F33)),IF(I33=0,"",(I33-F33)/I33),"")</f>
        <v/>
      </c>
      <c r="L33" s="22" t="n"/>
      <c r="M33" s="24">
        <f>IF(AND(ISNUMBER(I33),ISNUMBER(L33)),I33-L33,"")</f>
        <v/>
      </c>
      <c r="N33" s="25">
        <f>IF(AND(C33="",E33=""),"",IF(AND(H33&lt;&gt;"",NOT(ISNUMBER(H33))),"Cek Harga Manual",IF(AND(F33="-",NOT(ISNUMBER(H33))),"Isi Harga Manual",IF(F33="-","HPP akan dihapus",IF(AND(F33&lt;&gt;"",NOT(ISNUMBER(F33))),"Cek HPP",IF(AND(ISNUMBER(G33),OR(G33&lt;0,G33&gt;20)),"Cek Markup",IF(NOT(ISNUMBER(I33)),"Harga belum ada",IF(F33="","HPP kosong",IF(F33=0,"HPP 0, cek",IF(I33&lt;=F33,"RUGI / impas",IF(NOT(ISNUMBER(L33)),"Baru",IF(M33=0,"OK",IF(ABS(M33)&gt;=0.3*L33,"Berubah besar","Harga berubah")))))))))))))</f>
        <v/>
      </c>
      <c r="O33" s="18" t="n"/>
      <c r="P33" s="18" t="n"/>
      <c r="Q33" s="26" t="n"/>
    </row>
    <row r="34">
      <c r="A34" s="17" t="n"/>
      <c r="B34" s="18" t="n"/>
      <c r="C34" s="19" t="n"/>
      <c r="D34" s="19" t="n"/>
      <c r="E34" s="19" t="n"/>
      <c r="F34" s="20" t="n"/>
      <c r="G34" s="21" t="n"/>
      <c r="H34" s="20" t="n"/>
      <c r="I34" s="22">
        <f>IF(ISNUMBER(H34),H34,IF(AND(ISNUMBER(F34),ISNUMBER(G34)),CEILING(ROUND(F34*(1+G34),2),1000),""))</f>
        <v/>
      </c>
      <c r="J34" s="22">
        <f>IF(AND(ISNUMBER(I34),ISNUMBER(F34)),I34-F34,"")</f>
        <v/>
      </c>
      <c r="K34" s="23">
        <f>IF(AND(ISNUMBER(I34),ISNUMBER(F34)),IF(I34=0,"",(I34-F34)/I34),"")</f>
        <v/>
      </c>
      <c r="L34" s="22" t="n"/>
      <c r="M34" s="24">
        <f>IF(AND(ISNUMBER(I34),ISNUMBER(L34)),I34-L34,"")</f>
        <v/>
      </c>
      <c r="N34" s="25">
        <f>IF(AND(C34="",E34=""),"",IF(AND(H34&lt;&gt;"",NOT(ISNUMBER(H34))),"Cek Harga Manual",IF(AND(F34="-",NOT(ISNUMBER(H34))),"Isi Harga Manual",IF(F34="-","HPP akan dihapus",IF(AND(F34&lt;&gt;"",NOT(ISNUMBER(F34))),"Cek HPP",IF(AND(ISNUMBER(G34),OR(G34&lt;0,G34&gt;20)),"Cek Markup",IF(NOT(ISNUMBER(I34)),"Harga belum ada",IF(F34="","HPP kosong",IF(F34=0,"HPP 0, cek",IF(I34&lt;=F34,"RUGI / impas",IF(NOT(ISNUMBER(L34)),"Baru",IF(M34=0,"OK",IF(ABS(M34)&gt;=0.3*L34,"Berubah besar","Harga berubah")))))))))))))</f>
        <v/>
      </c>
      <c r="O34" s="18" t="n"/>
      <c r="P34" s="18" t="n"/>
      <c r="Q34" s="26" t="n"/>
    </row>
    <row r="35">
      <c r="A35" s="17" t="n"/>
      <c r="B35" s="18" t="n"/>
      <c r="C35" s="19" t="n"/>
      <c r="D35" s="19" t="n"/>
      <c r="E35" s="19" t="n"/>
      <c r="F35" s="20" t="n"/>
      <c r="G35" s="21" t="n"/>
      <c r="H35" s="20" t="n"/>
      <c r="I35" s="22">
        <f>IF(ISNUMBER(H35),H35,IF(AND(ISNUMBER(F35),ISNUMBER(G35)),CEILING(ROUND(F35*(1+G35),2),1000),""))</f>
        <v/>
      </c>
      <c r="J35" s="22">
        <f>IF(AND(ISNUMBER(I35),ISNUMBER(F35)),I35-F35,"")</f>
        <v/>
      </c>
      <c r="K35" s="23">
        <f>IF(AND(ISNUMBER(I35),ISNUMBER(F35)),IF(I35=0,"",(I35-F35)/I35),"")</f>
        <v/>
      </c>
      <c r="L35" s="22" t="n"/>
      <c r="M35" s="24">
        <f>IF(AND(ISNUMBER(I35),ISNUMBER(L35)),I35-L35,"")</f>
        <v/>
      </c>
      <c r="N35" s="25">
        <f>IF(AND(C35="",E35=""),"",IF(AND(H35&lt;&gt;"",NOT(ISNUMBER(H35))),"Cek Harga Manual",IF(AND(F35="-",NOT(ISNUMBER(H35))),"Isi Harga Manual",IF(F35="-","HPP akan dihapus",IF(AND(F35&lt;&gt;"",NOT(ISNUMBER(F35))),"Cek HPP",IF(AND(ISNUMBER(G35),OR(G35&lt;0,G35&gt;20)),"Cek Markup",IF(NOT(ISNUMBER(I35)),"Harga belum ada",IF(F35="","HPP kosong",IF(F35=0,"HPP 0, cek",IF(I35&lt;=F35,"RUGI / impas",IF(NOT(ISNUMBER(L35)),"Baru",IF(M35=0,"OK",IF(ABS(M35)&gt;=0.3*L35,"Berubah besar","Harga berubah")))))))))))))</f>
        <v/>
      </c>
      <c r="O35" s="18" t="n"/>
      <c r="P35" s="18" t="n"/>
      <c r="Q35" s="26" t="n"/>
    </row>
    <row r="36">
      <c r="A36" s="17" t="n"/>
      <c r="B36" s="18" t="n"/>
      <c r="C36" s="19" t="n"/>
      <c r="D36" s="19" t="n"/>
      <c r="E36" s="19" t="n"/>
      <c r="F36" s="20" t="n"/>
      <c r="G36" s="21" t="n"/>
      <c r="H36" s="20" t="n"/>
      <c r="I36" s="22">
        <f>IF(ISNUMBER(H36),H36,IF(AND(ISNUMBER(F36),ISNUMBER(G36)),CEILING(ROUND(F36*(1+G36),2),1000),""))</f>
        <v/>
      </c>
      <c r="J36" s="22">
        <f>IF(AND(ISNUMBER(I36),ISNUMBER(F36)),I36-F36,"")</f>
        <v/>
      </c>
      <c r="K36" s="23">
        <f>IF(AND(ISNUMBER(I36),ISNUMBER(F36)),IF(I36=0,"",(I36-F36)/I36),"")</f>
        <v/>
      </c>
      <c r="L36" s="22" t="n"/>
      <c r="M36" s="24">
        <f>IF(AND(ISNUMBER(I36),ISNUMBER(L36)),I36-L36,"")</f>
        <v/>
      </c>
      <c r="N36" s="25">
        <f>IF(AND(C36="",E36=""),"",IF(AND(H36&lt;&gt;"",NOT(ISNUMBER(H36))),"Cek Harga Manual",IF(AND(F36="-",NOT(ISNUMBER(H36))),"Isi Harga Manual",IF(F36="-","HPP akan dihapus",IF(AND(F36&lt;&gt;"",NOT(ISNUMBER(F36))),"Cek HPP",IF(AND(ISNUMBER(G36),OR(G36&lt;0,G36&gt;20)),"Cek Markup",IF(NOT(ISNUMBER(I36)),"Harga belum ada",IF(F36="","HPP kosong",IF(F36=0,"HPP 0, cek",IF(I36&lt;=F36,"RUGI / impas",IF(NOT(ISNUMBER(L36)),"Baru",IF(M36=0,"OK",IF(ABS(M36)&gt;=0.3*L36,"Berubah besar","Harga berubah")))))))))))))</f>
        <v/>
      </c>
      <c r="O36" s="18" t="n"/>
      <c r="P36" s="18" t="n"/>
      <c r="Q36" s="26" t="n"/>
    </row>
    <row r="37">
      <c r="A37" s="17" t="n"/>
      <c r="B37" s="18" t="n"/>
      <c r="C37" s="19" t="n"/>
      <c r="D37" s="19" t="n"/>
      <c r="E37" s="19" t="n"/>
      <c r="F37" s="20" t="n"/>
      <c r="G37" s="21" t="n"/>
      <c r="H37" s="20" t="n"/>
      <c r="I37" s="22">
        <f>IF(ISNUMBER(H37),H37,IF(AND(ISNUMBER(F37),ISNUMBER(G37)),CEILING(ROUND(F37*(1+G37),2),1000),""))</f>
        <v/>
      </c>
      <c r="J37" s="22">
        <f>IF(AND(ISNUMBER(I37),ISNUMBER(F37)),I37-F37,"")</f>
        <v/>
      </c>
      <c r="K37" s="23">
        <f>IF(AND(ISNUMBER(I37),ISNUMBER(F37)),IF(I37=0,"",(I37-F37)/I37),"")</f>
        <v/>
      </c>
      <c r="L37" s="22" t="n"/>
      <c r="M37" s="24">
        <f>IF(AND(ISNUMBER(I37),ISNUMBER(L37)),I37-L37,"")</f>
        <v/>
      </c>
      <c r="N37" s="25">
        <f>IF(AND(C37="",E37=""),"",IF(AND(H37&lt;&gt;"",NOT(ISNUMBER(H37))),"Cek Harga Manual",IF(AND(F37="-",NOT(ISNUMBER(H37))),"Isi Harga Manual",IF(F37="-","HPP akan dihapus",IF(AND(F37&lt;&gt;"",NOT(ISNUMBER(F37))),"Cek HPP",IF(AND(ISNUMBER(G37),OR(G37&lt;0,G37&gt;20)),"Cek Markup",IF(NOT(ISNUMBER(I37)),"Harga belum ada",IF(F37="","HPP kosong",IF(F37=0,"HPP 0, cek",IF(I37&lt;=F37,"RUGI / impas",IF(NOT(ISNUMBER(L37)),"Baru",IF(M37=0,"OK",IF(ABS(M37)&gt;=0.3*L37,"Berubah besar","Harga berubah")))))))))))))</f>
        <v/>
      </c>
      <c r="O37" s="18" t="n"/>
      <c r="P37" s="18" t="n"/>
      <c r="Q37" s="26" t="n"/>
    </row>
    <row r="38">
      <c r="A38" s="17" t="n"/>
      <c r="B38" s="18" t="n"/>
      <c r="C38" s="19" t="n"/>
      <c r="D38" s="19" t="n"/>
      <c r="E38" s="19" t="n"/>
      <c r="F38" s="20" t="n"/>
      <c r="G38" s="21" t="n"/>
      <c r="H38" s="20" t="n"/>
      <c r="I38" s="22">
        <f>IF(ISNUMBER(H38),H38,IF(AND(ISNUMBER(F38),ISNUMBER(G38)),CEILING(ROUND(F38*(1+G38),2),1000),""))</f>
        <v/>
      </c>
      <c r="J38" s="22">
        <f>IF(AND(ISNUMBER(I38),ISNUMBER(F38)),I38-F38,"")</f>
        <v/>
      </c>
      <c r="K38" s="23">
        <f>IF(AND(ISNUMBER(I38),ISNUMBER(F38)),IF(I38=0,"",(I38-F38)/I38),"")</f>
        <v/>
      </c>
      <c r="L38" s="22" t="n"/>
      <c r="M38" s="24">
        <f>IF(AND(ISNUMBER(I38),ISNUMBER(L38)),I38-L38,"")</f>
        <v/>
      </c>
      <c r="N38" s="25">
        <f>IF(AND(C38="",E38=""),"",IF(AND(H38&lt;&gt;"",NOT(ISNUMBER(H38))),"Cek Harga Manual",IF(AND(F38="-",NOT(ISNUMBER(H38))),"Isi Harga Manual",IF(F38="-","HPP akan dihapus",IF(AND(F38&lt;&gt;"",NOT(ISNUMBER(F38))),"Cek HPP",IF(AND(ISNUMBER(G38),OR(G38&lt;0,G38&gt;20)),"Cek Markup",IF(NOT(ISNUMBER(I38)),"Harga belum ada",IF(F38="","HPP kosong",IF(F38=0,"HPP 0, cek",IF(I38&lt;=F38,"RUGI / impas",IF(NOT(ISNUMBER(L38)),"Baru",IF(M38=0,"OK",IF(ABS(M38)&gt;=0.3*L38,"Berubah besar","Harga berubah")))))))))))))</f>
        <v/>
      </c>
      <c r="O38" s="18" t="n"/>
      <c r="P38" s="18" t="n"/>
      <c r="Q38" s="26" t="n"/>
    </row>
    <row r="39">
      <c r="A39" s="17" t="n"/>
      <c r="B39" s="18" t="n"/>
      <c r="C39" s="19" t="n"/>
      <c r="D39" s="19" t="n"/>
      <c r="E39" s="19" t="n"/>
      <c r="F39" s="20" t="n"/>
      <c r="G39" s="21" t="n"/>
      <c r="H39" s="20" t="n"/>
      <c r="I39" s="22">
        <f>IF(ISNUMBER(H39),H39,IF(AND(ISNUMBER(F39),ISNUMBER(G39)),CEILING(ROUND(F39*(1+G39),2),1000),""))</f>
        <v/>
      </c>
      <c r="J39" s="22">
        <f>IF(AND(ISNUMBER(I39),ISNUMBER(F39)),I39-F39,"")</f>
        <v/>
      </c>
      <c r="K39" s="23">
        <f>IF(AND(ISNUMBER(I39),ISNUMBER(F39)),IF(I39=0,"",(I39-F39)/I39),"")</f>
        <v/>
      </c>
      <c r="L39" s="22" t="n"/>
      <c r="M39" s="24">
        <f>IF(AND(ISNUMBER(I39),ISNUMBER(L39)),I39-L39,"")</f>
        <v/>
      </c>
      <c r="N39" s="25">
        <f>IF(AND(C39="",E39=""),"",IF(AND(H39&lt;&gt;"",NOT(ISNUMBER(H39))),"Cek Harga Manual",IF(AND(F39="-",NOT(ISNUMBER(H39))),"Isi Harga Manual",IF(F39="-","HPP akan dihapus",IF(AND(F39&lt;&gt;"",NOT(ISNUMBER(F39))),"Cek HPP",IF(AND(ISNUMBER(G39),OR(G39&lt;0,G39&gt;20)),"Cek Markup",IF(NOT(ISNUMBER(I39)),"Harga belum ada",IF(F39="","HPP kosong",IF(F39=0,"HPP 0, cek",IF(I39&lt;=F39,"RUGI / impas",IF(NOT(ISNUMBER(L39)),"Baru",IF(M39=0,"OK",IF(ABS(M39)&gt;=0.3*L39,"Berubah besar","Harga berubah")))))))))))))</f>
        <v/>
      </c>
      <c r="O39" s="18" t="n"/>
      <c r="P39" s="18" t="n"/>
      <c r="Q39" s="26" t="n"/>
    </row>
    <row r="40">
      <c r="A40" s="17" t="n"/>
      <c r="B40" s="18" t="n"/>
      <c r="C40" s="19" t="n"/>
      <c r="D40" s="19" t="n"/>
      <c r="E40" s="19" t="n"/>
      <c r="F40" s="20" t="n"/>
      <c r="G40" s="21" t="n"/>
      <c r="H40" s="20" t="n"/>
      <c r="I40" s="22">
        <f>IF(ISNUMBER(H40),H40,IF(AND(ISNUMBER(F40),ISNUMBER(G40)),CEILING(ROUND(F40*(1+G40),2),1000),""))</f>
        <v/>
      </c>
      <c r="J40" s="22">
        <f>IF(AND(ISNUMBER(I40),ISNUMBER(F40)),I40-F40,"")</f>
        <v/>
      </c>
      <c r="K40" s="23">
        <f>IF(AND(ISNUMBER(I40),ISNUMBER(F40)),IF(I40=0,"",(I40-F40)/I40),"")</f>
        <v/>
      </c>
      <c r="L40" s="22" t="n"/>
      <c r="M40" s="24">
        <f>IF(AND(ISNUMBER(I40),ISNUMBER(L40)),I40-L40,"")</f>
        <v/>
      </c>
      <c r="N40" s="25">
        <f>IF(AND(C40="",E40=""),"",IF(AND(H40&lt;&gt;"",NOT(ISNUMBER(H40))),"Cek Harga Manual",IF(AND(F40="-",NOT(ISNUMBER(H40))),"Isi Harga Manual",IF(F40="-","HPP akan dihapus",IF(AND(F40&lt;&gt;"",NOT(ISNUMBER(F40))),"Cek HPP",IF(AND(ISNUMBER(G40),OR(G40&lt;0,G40&gt;20)),"Cek Markup",IF(NOT(ISNUMBER(I40)),"Harga belum ada",IF(F40="","HPP kosong",IF(F40=0,"HPP 0, cek",IF(I40&lt;=F40,"RUGI / impas",IF(NOT(ISNUMBER(L40)),"Baru",IF(M40=0,"OK",IF(ABS(M40)&gt;=0.3*L40,"Berubah besar","Harga berubah")))))))))))))</f>
        <v/>
      </c>
      <c r="O40" s="18" t="n"/>
      <c r="P40" s="18" t="n"/>
      <c r="Q40" s="26" t="n"/>
    </row>
    <row r="41">
      <c r="A41" s="17" t="n"/>
      <c r="B41" s="18" t="n"/>
      <c r="C41" s="19" t="n"/>
      <c r="D41" s="19" t="n"/>
      <c r="E41" s="19" t="n"/>
      <c r="F41" s="20" t="n"/>
      <c r="G41" s="21" t="n"/>
      <c r="H41" s="20" t="n"/>
      <c r="I41" s="22">
        <f>IF(ISNUMBER(H41),H41,IF(AND(ISNUMBER(F41),ISNUMBER(G41)),CEILING(ROUND(F41*(1+G41),2),1000),""))</f>
        <v/>
      </c>
      <c r="J41" s="22">
        <f>IF(AND(ISNUMBER(I41),ISNUMBER(F41)),I41-F41,"")</f>
        <v/>
      </c>
      <c r="K41" s="23">
        <f>IF(AND(ISNUMBER(I41),ISNUMBER(F41)),IF(I41=0,"",(I41-F41)/I41),"")</f>
        <v/>
      </c>
      <c r="L41" s="22" t="n"/>
      <c r="M41" s="24">
        <f>IF(AND(ISNUMBER(I41),ISNUMBER(L41)),I41-L41,"")</f>
        <v/>
      </c>
      <c r="N41" s="25">
        <f>IF(AND(C41="",E41=""),"",IF(AND(H41&lt;&gt;"",NOT(ISNUMBER(H41))),"Cek Harga Manual",IF(AND(F41="-",NOT(ISNUMBER(H41))),"Isi Harga Manual",IF(F41="-","HPP akan dihapus",IF(AND(F41&lt;&gt;"",NOT(ISNUMBER(F41))),"Cek HPP",IF(AND(ISNUMBER(G41),OR(G41&lt;0,G41&gt;20)),"Cek Markup",IF(NOT(ISNUMBER(I41)),"Harga belum ada",IF(F41="","HPP kosong",IF(F41=0,"HPP 0, cek",IF(I41&lt;=F41,"RUGI / impas",IF(NOT(ISNUMBER(L41)),"Baru",IF(M41=0,"OK",IF(ABS(M41)&gt;=0.3*L41,"Berubah besar","Harga berubah")))))))))))))</f>
        <v/>
      </c>
      <c r="O41" s="18" t="n"/>
      <c r="P41" s="18" t="n"/>
      <c r="Q41" s="26" t="n"/>
    </row>
    <row r="42">
      <c r="A42" s="17" t="n"/>
      <c r="B42" s="18" t="n"/>
      <c r="C42" s="19" t="n"/>
      <c r="D42" s="19" t="n"/>
      <c r="E42" s="19" t="n"/>
      <c r="F42" s="20" t="n"/>
      <c r="G42" s="21" t="n"/>
      <c r="H42" s="20" t="n"/>
      <c r="I42" s="22">
        <f>IF(ISNUMBER(H42),H42,IF(AND(ISNUMBER(F42),ISNUMBER(G42)),CEILING(ROUND(F42*(1+G42),2),1000),""))</f>
        <v/>
      </c>
      <c r="J42" s="22">
        <f>IF(AND(ISNUMBER(I42),ISNUMBER(F42)),I42-F42,"")</f>
        <v/>
      </c>
      <c r="K42" s="23">
        <f>IF(AND(ISNUMBER(I42),ISNUMBER(F42)),IF(I42=0,"",(I42-F42)/I42),"")</f>
        <v/>
      </c>
      <c r="L42" s="22" t="n"/>
      <c r="M42" s="24">
        <f>IF(AND(ISNUMBER(I42),ISNUMBER(L42)),I42-L42,"")</f>
        <v/>
      </c>
      <c r="N42" s="25">
        <f>IF(AND(C42="",E42=""),"",IF(AND(H42&lt;&gt;"",NOT(ISNUMBER(H42))),"Cek Harga Manual",IF(AND(F42="-",NOT(ISNUMBER(H42))),"Isi Harga Manual",IF(F42="-","HPP akan dihapus",IF(AND(F42&lt;&gt;"",NOT(ISNUMBER(F42))),"Cek HPP",IF(AND(ISNUMBER(G42),OR(G42&lt;0,G42&gt;20)),"Cek Markup",IF(NOT(ISNUMBER(I42)),"Harga belum ada",IF(F42="","HPP kosong",IF(F42=0,"HPP 0, cek",IF(I42&lt;=F42,"RUGI / impas",IF(NOT(ISNUMBER(L42)),"Baru",IF(M42=0,"OK",IF(ABS(M42)&gt;=0.3*L42,"Berubah besar","Harga berubah")))))))))))))</f>
        <v/>
      </c>
      <c r="O42" s="18" t="n"/>
      <c r="P42" s="18" t="n"/>
      <c r="Q42" s="26" t="n"/>
    </row>
    <row r="43">
      <c r="A43" s="17" t="n"/>
      <c r="B43" s="18" t="n"/>
      <c r="C43" s="19" t="n"/>
      <c r="D43" s="19" t="n"/>
      <c r="E43" s="19" t="n"/>
      <c r="F43" s="20" t="n"/>
      <c r="G43" s="21" t="n"/>
      <c r="H43" s="20" t="n"/>
      <c r="I43" s="22">
        <f>IF(ISNUMBER(H43),H43,IF(AND(ISNUMBER(F43),ISNUMBER(G43)),CEILING(ROUND(F43*(1+G43),2),1000),""))</f>
        <v/>
      </c>
      <c r="J43" s="22">
        <f>IF(AND(ISNUMBER(I43),ISNUMBER(F43)),I43-F43,"")</f>
        <v/>
      </c>
      <c r="K43" s="23">
        <f>IF(AND(ISNUMBER(I43),ISNUMBER(F43)),IF(I43=0,"",(I43-F43)/I43),"")</f>
        <v/>
      </c>
      <c r="L43" s="22" t="n"/>
      <c r="M43" s="24">
        <f>IF(AND(ISNUMBER(I43),ISNUMBER(L43)),I43-L43,"")</f>
        <v/>
      </c>
      <c r="N43" s="25">
        <f>IF(AND(C43="",E43=""),"",IF(AND(H43&lt;&gt;"",NOT(ISNUMBER(H43))),"Cek Harga Manual",IF(AND(F43="-",NOT(ISNUMBER(H43))),"Isi Harga Manual",IF(F43="-","HPP akan dihapus",IF(AND(F43&lt;&gt;"",NOT(ISNUMBER(F43))),"Cek HPP",IF(AND(ISNUMBER(G43),OR(G43&lt;0,G43&gt;20)),"Cek Markup",IF(NOT(ISNUMBER(I43)),"Harga belum ada",IF(F43="","HPP kosong",IF(F43=0,"HPP 0, cek",IF(I43&lt;=F43,"RUGI / impas",IF(NOT(ISNUMBER(L43)),"Baru",IF(M43=0,"OK",IF(ABS(M43)&gt;=0.3*L43,"Berubah besar","Harga berubah")))))))))))))</f>
        <v/>
      </c>
      <c r="O43" s="18" t="n"/>
      <c r="P43" s="18" t="n"/>
      <c r="Q43" s="26" t="n"/>
    </row>
    <row r="44">
      <c r="A44" s="17" t="n"/>
      <c r="B44" s="18" t="n"/>
      <c r="C44" s="19" t="n"/>
      <c r="D44" s="19" t="n"/>
      <c r="E44" s="19" t="n"/>
      <c r="F44" s="20" t="n"/>
      <c r="G44" s="21" t="n"/>
      <c r="H44" s="20" t="n"/>
      <c r="I44" s="22">
        <f>IF(ISNUMBER(H44),H44,IF(AND(ISNUMBER(F44),ISNUMBER(G44)),CEILING(ROUND(F44*(1+G44),2),1000),""))</f>
        <v/>
      </c>
      <c r="J44" s="22">
        <f>IF(AND(ISNUMBER(I44),ISNUMBER(F44)),I44-F44,"")</f>
        <v/>
      </c>
      <c r="K44" s="23">
        <f>IF(AND(ISNUMBER(I44),ISNUMBER(F44)),IF(I44=0,"",(I44-F44)/I44),"")</f>
        <v/>
      </c>
      <c r="L44" s="22" t="n"/>
      <c r="M44" s="24">
        <f>IF(AND(ISNUMBER(I44),ISNUMBER(L44)),I44-L44,"")</f>
        <v/>
      </c>
      <c r="N44" s="25">
        <f>IF(AND(C44="",E44=""),"",IF(AND(H44&lt;&gt;"",NOT(ISNUMBER(H44))),"Cek Harga Manual",IF(AND(F44="-",NOT(ISNUMBER(H44))),"Isi Harga Manual",IF(F44="-","HPP akan dihapus",IF(AND(F44&lt;&gt;"",NOT(ISNUMBER(F44))),"Cek HPP",IF(AND(ISNUMBER(G44),OR(G44&lt;0,G44&gt;20)),"Cek Markup",IF(NOT(ISNUMBER(I44)),"Harga belum ada",IF(F44="","HPP kosong",IF(F44=0,"HPP 0, cek",IF(I44&lt;=F44,"RUGI / impas",IF(NOT(ISNUMBER(L44)),"Baru",IF(M44=0,"OK",IF(ABS(M44)&gt;=0.3*L44,"Berubah besar","Harga berubah")))))))))))))</f>
        <v/>
      </c>
      <c r="O44" s="18" t="n"/>
      <c r="P44" s="18" t="n"/>
      <c r="Q44" s="26" t="n"/>
    </row>
    <row r="45">
      <c r="A45" s="17" t="n"/>
      <c r="B45" s="18" t="n"/>
      <c r="C45" s="19" t="n"/>
      <c r="D45" s="19" t="n"/>
      <c r="E45" s="19" t="n"/>
      <c r="F45" s="20" t="n"/>
      <c r="G45" s="21" t="n"/>
      <c r="H45" s="20" t="n"/>
      <c r="I45" s="22">
        <f>IF(ISNUMBER(H45),H45,IF(AND(ISNUMBER(F45),ISNUMBER(G45)),CEILING(ROUND(F45*(1+G45),2),1000),""))</f>
        <v/>
      </c>
      <c r="J45" s="22">
        <f>IF(AND(ISNUMBER(I45),ISNUMBER(F45)),I45-F45,"")</f>
        <v/>
      </c>
      <c r="K45" s="23">
        <f>IF(AND(ISNUMBER(I45),ISNUMBER(F45)),IF(I45=0,"",(I45-F45)/I45),"")</f>
        <v/>
      </c>
      <c r="L45" s="22" t="n"/>
      <c r="M45" s="24">
        <f>IF(AND(ISNUMBER(I45),ISNUMBER(L45)),I45-L45,"")</f>
        <v/>
      </c>
      <c r="N45" s="25">
        <f>IF(AND(C45="",E45=""),"",IF(AND(H45&lt;&gt;"",NOT(ISNUMBER(H45))),"Cek Harga Manual",IF(AND(F45="-",NOT(ISNUMBER(H45))),"Isi Harga Manual",IF(F45="-","HPP akan dihapus",IF(AND(F45&lt;&gt;"",NOT(ISNUMBER(F45))),"Cek HPP",IF(AND(ISNUMBER(G45),OR(G45&lt;0,G45&gt;20)),"Cek Markup",IF(NOT(ISNUMBER(I45)),"Harga belum ada",IF(F45="","HPP kosong",IF(F45=0,"HPP 0, cek",IF(I45&lt;=F45,"RUGI / impas",IF(NOT(ISNUMBER(L45)),"Baru",IF(M45=0,"OK",IF(ABS(M45)&gt;=0.3*L45,"Berubah besar","Harga berubah")))))))))))))</f>
        <v/>
      </c>
      <c r="O45" s="18" t="n"/>
      <c r="P45" s="18" t="n"/>
      <c r="Q45" s="26" t="n"/>
    </row>
    <row r="46">
      <c r="A46" s="17" t="n"/>
      <c r="B46" s="18" t="n"/>
      <c r="C46" s="19" t="n"/>
      <c r="D46" s="19" t="n"/>
      <c r="E46" s="19" t="n"/>
      <c r="F46" s="20" t="n"/>
      <c r="G46" s="21" t="n"/>
      <c r="H46" s="20" t="n"/>
      <c r="I46" s="22">
        <f>IF(ISNUMBER(H46),H46,IF(AND(ISNUMBER(F46),ISNUMBER(G46)),CEILING(ROUND(F46*(1+G46),2),1000),""))</f>
        <v/>
      </c>
      <c r="J46" s="22">
        <f>IF(AND(ISNUMBER(I46),ISNUMBER(F46)),I46-F46,"")</f>
        <v/>
      </c>
      <c r="K46" s="23">
        <f>IF(AND(ISNUMBER(I46),ISNUMBER(F46)),IF(I46=0,"",(I46-F46)/I46),"")</f>
        <v/>
      </c>
      <c r="L46" s="22" t="n"/>
      <c r="M46" s="24">
        <f>IF(AND(ISNUMBER(I46),ISNUMBER(L46)),I46-L46,"")</f>
        <v/>
      </c>
      <c r="N46" s="25">
        <f>IF(AND(C46="",E46=""),"",IF(AND(H46&lt;&gt;"",NOT(ISNUMBER(H46))),"Cek Harga Manual",IF(AND(F46="-",NOT(ISNUMBER(H46))),"Isi Harga Manual",IF(F46="-","HPP akan dihapus",IF(AND(F46&lt;&gt;"",NOT(ISNUMBER(F46))),"Cek HPP",IF(AND(ISNUMBER(G46),OR(G46&lt;0,G46&gt;20)),"Cek Markup",IF(NOT(ISNUMBER(I46)),"Harga belum ada",IF(F46="","HPP kosong",IF(F46=0,"HPP 0, cek",IF(I46&lt;=F46,"RUGI / impas",IF(NOT(ISNUMBER(L46)),"Baru",IF(M46=0,"OK",IF(ABS(M46)&gt;=0.3*L46,"Berubah besar","Harga berubah")))))))))))))</f>
        <v/>
      </c>
      <c r="O46" s="18" t="n"/>
      <c r="P46" s="18" t="n"/>
      <c r="Q46" s="26" t="n"/>
    </row>
    <row r="47">
      <c r="A47" s="17" t="n"/>
      <c r="B47" s="18" t="n"/>
      <c r="C47" s="19" t="n"/>
      <c r="D47" s="19" t="n"/>
      <c r="E47" s="19" t="n"/>
      <c r="F47" s="20" t="n"/>
      <c r="G47" s="21" t="n"/>
      <c r="H47" s="20" t="n"/>
      <c r="I47" s="22">
        <f>IF(ISNUMBER(H47),H47,IF(AND(ISNUMBER(F47),ISNUMBER(G47)),CEILING(ROUND(F47*(1+G47),2),1000),""))</f>
        <v/>
      </c>
      <c r="J47" s="22">
        <f>IF(AND(ISNUMBER(I47),ISNUMBER(F47)),I47-F47,"")</f>
        <v/>
      </c>
      <c r="K47" s="23">
        <f>IF(AND(ISNUMBER(I47),ISNUMBER(F47)),IF(I47=0,"",(I47-F47)/I47),"")</f>
        <v/>
      </c>
      <c r="L47" s="22" t="n"/>
      <c r="M47" s="24">
        <f>IF(AND(ISNUMBER(I47),ISNUMBER(L47)),I47-L47,"")</f>
        <v/>
      </c>
      <c r="N47" s="25">
        <f>IF(AND(C47="",E47=""),"",IF(AND(H47&lt;&gt;"",NOT(ISNUMBER(H47))),"Cek Harga Manual",IF(AND(F47="-",NOT(ISNUMBER(H47))),"Isi Harga Manual",IF(F47="-","HPP akan dihapus",IF(AND(F47&lt;&gt;"",NOT(ISNUMBER(F47))),"Cek HPP",IF(AND(ISNUMBER(G47),OR(G47&lt;0,G47&gt;20)),"Cek Markup",IF(NOT(ISNUMBER(I47)),"Harga belum ada",IF(F47="","HPP kosong",IF(F47=0,"HPP 0, cek",IF(I47&lt;=F47,"RUGI / impas",IF(NOT(ISNUMBER(L47)),"Baru",IF(M47=0,"OK",IF(ABS(M47)&gt;=0.3*L47,"Berubah besar","Harga berubah")))))))))))))</f>
        <v/>
      </c>
      <c r="O47" s="18" t="n"/>
      <c r="P47" s="18" t="n"/>
      <c r="Q47" s="26" t="n"/>
    </row>
    <row r="48">
      <c r="A48" s="17" t="n"/>
      <c r="B48" s="18" t="n"/>
      <c r="C48" s="19" t="n"/>
      <c r="D48" s="19" t="n"/>
      <c r="E48" s="19" t="n"/>
      <c r="F48" s="20" t="n"/>
      <c r="G48" s="21" t="n"/>
      <c r="H48" s="20" t="n"/>
      <c r="I48" s="22">
        <f>IF(ISNUMBER(H48),H48,IF(AND(ISNUMBER(F48),ISNUMBER(G48)),CEILING(ROUND(F48*(1+G48),2),1000),""))</f>
        <v/>
      </c>
      <c r="J48" s="22">
        <f>IF(AND(ISNUMBER(I48),ISNUMBER(F48)),I48-F48,"")</f>
        <v/>
      </c>
      <c r="K48" s="23">
        <f>IF(AND(ISNUMBER(I48),ISNUMBER(F48)),IF(I48=0,"",(I48-F48)/I48),"")</f>
        <v/>
      </c>
      <c r="L48" s="22" t="n"/>
      <c r="M48" s="24">
        <f>IF(AND(ISNUMBER(I48),ISNUMBER(L48)),I48-L48,"")</f>
        <v/>
      </c>
      <c r="N48" s="25">
        <f>IF(AND(C48="",E48=""),"",IF(AND(H48&lt;&gt;"",NOT(ISNUMBER(H48))),"Cek Harga Manual",IF(AND(F48="-",NOT(ISNUMBER(H48))),"Isi Harga Manual",IF(F48="-","HPP akan dihapus",IF(AND(F48&lt;&gt;"",NOT(ISNUMBER(F48))),"Cek HPP",IF(AND(ISNUMBER(G48),OR(G48&lt;0,G48&gt;20)),"Cek Markup",IF(NOT(ISNUMBER(I48)),"Harga belum ada",IF(F48="","HPP kosong",IF(F48=0,"HPP 0, cek",IF(I48&lt;=F48,"RUGI / impas",IF(NOT(ISNUMBER(L48)),"Baru",IF(M48=0,"OK",IF(ABS(M48)&gt;=0.3*L48,"Berubah besar","Harga berubah")))))))))))))</f>
        <v/>
      </c>
      <c r="O48" s="18" t="n"/>
      <c r="P48" s="18" t="n"/>
      <c r="Q48" s="26" t="n"/>
    </row>
    <row r="49">
      <c r="A49" s="17" t="n"/>
      <c r="B49" s="18" t="n"/>
      <c r="C49" s="19" t="n"/>
      <c r="D49" s="19" t="n"/>
      <c r="E49" s="19" t="n"/>
      <c r="F49" s="20" t="n"/>
      <c r="G49" s="21" t="n"/>
      <c r="H49" s="20" t="n"/>
      <c r="I49" s="22">
        <f>IF(ISNUMBER(H49),H49,IF(AND(ISNUMBER(F49),ISNUMBER(G49)),CEILING(ROUND(F49*(1+G49),2),1000),""))</f>
        <v/>
      </c>
      <c r="J49" s="22">
        <f>IF(AND(ISNUMBER(I49),ISNUMBER(F49)),I49-F49,"")</f>
        <v/>
      </c>
      <c r="K49" s="23">
        <f>IF(AND(ISNUMBER(I49),ISNUMBER(F49)),IF(I49=0,"",(I49-F49)/I49),"")</f>
        <v/>
      </c>
      <c r="L49" s="22" t="n"/>
      <c r="M49" s="24">
        <f>IF(AND(ISNUMBER(I49),ISNUMBER(L49)),I49-L49,"")</f>
        <v/>
      </c>
      <c r="N49" s="25">
        <f>IF(AND(C49="",E49=""),"",IF(AND(H49&lt;&gt;"",NOT(ISNUMBER(H49))),"Cek Harga Manual",IF(AND(F49="-",NOT(ISNUMBER(H49))),"Isi Harga Manual",IF(F49="-","HPP akan dihapus",IF(AND(F49&lt;&gt;"",NOT(ISNUMBER(F49))),"Cek HPP",IF(AND(ISNUMBER(G49),OR(G49&lt;0,G49&gt;20)),"Cek Markup",IF(NOT(ISNUMBER(I49)),"Harga belum ada",IF(F49="","HPP kosong",IF(F49=0,"HPP 0, cek",IF(I49&lt;=F49,"RUGI / impas",IF(NOT(ISNUMBER(L49)),"Baru",IF(M49=0,"OK",IF(ABS(M49)&gt;=0.3*L49,"Berubah besar","Harga berubah")))))))))))))</f>
        <v/>
      </c>
      <c r="O49" s="18" t="n"/>
      <c r="P49" s="18" t="n"/>
      <c r="Q49" s="26" t="n"/>
    </row>
    <row r="50">
      <c r="A50" s="17" t="n"/>
      <c r="B50" s="18" t="n"/>
      <c r="C50" s="19" t="n"/>
      <c r="D50" s="19" t="n"/>
      <c r="E50" s="19" t="n"/>
      <c r="F50" s="20" t="n"/>
      <c r="G50" s="21" t="n"/>
      <c r="H50" s="20" t="n"/>
      <c r="I50" s="22">
        <f>IF(ISNUMBER(H50),H50,IF(AND(ISNUMBER(F50),ISNUMBER(G50)),CEILING(ROUND(F50*(1+G50),2),1000),""))</f>
        <v/>
      </c>
      <c r="J50" s="22">
        <f>IF(AND(ISNUMBER(I50),ISNUMBER(F50)),I50-F50,"")</f>
        <v/>
      </c>
      <c r="K50" s="23">
        <f>IF(AND(ISNUMBER(I50),ISNUMBER(F50)),IF(I50=0,"",(I50-F50)/I50),"")</f>
        <v/>
      </c>
      <c r="L50" s="22" t="n"/>
      <c r="M50" s="24">
        <f>IF(AND(ISNUMBER(I50),ISNUMBER(L50)),I50-L50,"")</f>
        <v/>
      </c>
      <c r="N50" s="25">
        <f>IF(AND(C50="",E50=""),"",IF(AND(H50&lt;&gt;"",NOT(ISNUMBER(H50))),"Cek Harga Manual",IF(AND(F50="-",NOT(ISNUMBER(H50))),"Isi Harga Manual",IF(F50="-","HPP akan dihapus",IF(AND(F50&lt;&gt;"",NOT(ISNUMBER(F50))),"Cek HPP",IF(AND(ISNUMBER(G50),OR(G50&lt;0,G50&gt;20)),"Cek Markup",IF(NOT(ISNUMBER(I50)),"Harga belum ada",IF(F50="","HPP kosong",IF(F50=0,"HPP 0, cek",IF(I50&lt;=F50,"RUGI / impas",IF(NOT(ISNUMBER(L50)),"Baru",IF(M50=0,"OK",IF(ABS(M50)&gt;=0.3*L50,"Berubah besar","Harga berubah")))))))))))))</f>
        <v/>
      </c>
      <c r="O50" s="18" t="n"/>
      <c r="P50" s="18" t="n"/>
      <c r="Q50" s="26" t="n"/>
    </row>
    <row r="51">
      <c r="A51" s="17" t="n"/>
      <c r="B51" s="18" t="n"/>
      <c r="C51" s="19" t="n"/>
      <c r="D51" s="19" t="n"/>
      <c r="E51" s="19" t="n"/>
      <c r="F51" s="20" t="n"/>
      <c r="G51" s="21" t="n"/>
      <c r="H51" s="20" t="n"/>
      <c r="I51" s="22">
        <f>IF(ISNUMBER(H51),H51,IF(AND(ISNUMBER(F51),ISNUMBER(G51)),CEILING(ROUND(F51*(1+G51),2),1000),""))</f>
        <v/>
      </c>
      <c r="J51" s="22">
        <f>IF(AND(ISNUMBER(I51),ISNUMBER(F51)),I51-F51,"")</f>
        <v/>
      </c>
      <c r="K51" s="23">
        <f>IF(AND(ISNUMBER(I51),ISNUMBER(F51)),IF(I51=0,"",(I51-F51)/I51),"")</f>
        <v/>
      </c>
      <c r="L51" s="22" t="n"/>
      <c r="M51" s="24">
        <f>IF(AND(ISNUMBER(I51),ISNUMBER(L51)),I51-L51,"")</f>
        <v/>
      </c>
      <c r="N51" s="25">
        <f>IF(AND(C51="",E51=""),"",IF(AND(H51&lt;&gt;"",NOT(ISNUMBER(H51))),"Cek Harga Manual",IF(AND(F51="-",NOT(ISNUMBER(H51))),"Isi Harga Manual",IF(F51="-","HPP akan dihapus",IF(AND(F51&lt;&gt;"",NOT(ISNUMBER(F51))),"Cek HPP",IF(AND(ISNUMBER(G51),OR(G51&lt;0,G51&gt;20)),"Cek Markup",IF(NOT(ISNUMBER(I51)),"Harga belum ada",IF(F51="","HPP kosong",IF(F51=0,"HPP 0, cek",IF(I51&lt;=F51,"RUGI / impas",IF(NOT(ISNUMBER(L51)),"Baru",IF(M51=0,"OK",IF(ABS(M51)&gt;=0.3*L51,"Berubah besar","Harga berubah")))))))))))))</f>
        <v/>
      </c>
      <c r="O51" s="18" t="n"/>
      <c r="P51" s="18" t="n"/>
      <c r="Q51" s="26" t="n"/>
    </row>
    <row r="52">
      <c r="A52" s="17" t="n"/>
      <c r="B52" s="18" t="n"/>
      <c r="C52" s="19" t="n"/>
      <c r="D52" s="19" t="n"/>
      <c r="E52" s="19" t="n"/>
      <c r="F52" s="20" t="n"/>
      <c r="G52" s="21" t="n"/>
      <c r="H52" s="20" t="n"/>
      <c r="I52" s="22">
        <f>IF(ISNUMBER(H52),H52,IF(AND(ISNUMBER(F52),ISNUMBER(G52)),CEILING(ROUND(F52*(1+G52),2),1000),""))</f>
        <v/>
      </c>
      <c r="J52" s="22">
        <f>IF(AND(ISNUMBER(I52),ISNUMBER(F52)),I52-F52,"")</f>
        <v/>
      </c>
      <c r="K52" s="23">
        <f>IF(AND(ISNUMBER(I52),ISNUMBER(F52)),IF(I52=0,"",(I52-F52)/I52),"")</f>
        <v/>
      </c>
      <c r="L52" s="22" t="n"/>
      <c r="M52" s="24">
        <f>IF(AND(ISNUMBER(I52),ISNUMBER(L52)),I52-L52,"")</f>
        <v/>
      </c>
      <c r="N52" s="25">
        <f>IF(AND(C52="",E52=""),"",IF(AND(H52&lt;&gt;"",NOT(ISNUMBER(H52))),"Cek Harga Manual",IF(AND(F52="-",NOT(ISNUMBER(H52))),"Isi Harga Manual",IF(F52="-","HPP akan dihapus",IF(AND(F52&lt;&gt;"",NOT(ISNUMBER(F52))),"Cek HPP",IF(AND(ISNUMBER(G52),OR(G52&lt;0,G52&gt;20)),"Cek Markup",IF(NOT(ISNUMBER(I52)),"Harga belum ada",IF(F52="","HPP kosong",IF(F52=0,"HPP 0, cek",IF(I52&lt;=F52,"RUGI / impas",IF(NOT(ISNUMBER(L52)),"Baru",IF(M52=0,"OK",IF(ABS(M52)&gt;=0.3*L52,"Berubah besar","Harga berubah")))))))))))))</f>
        <v/>
      </c>
      <c r="O52" s="18" t="n"/>
      <c r="P52" s="18" t="n"/>
      <c r="Q52" s="26" t="n"/>
    </row>
    <row r="53">
      <c r="A53" s="17" t="n"/>
      <c r="B53" s="18" t="n"/>
      <c r="C53" s="19" t="n"/>
      <c r="D53" s="19" t="n"/>
      <c r="E53" s="19" t="n"/>
      <c r="F53" s="20" t="n"/>
      <c r="G53" s="21" t="n"/>
      <c r="H53" s="20" t="n"/>
      <c r="I53" s="22">
        <f>IF(ISNUMBER(H53),H53,IF(AND(ISNUMBER(F53),ISNUMBER(G53)),CEILING(ROUND(F53*(1+G53),2),1000),""))</f>
        <v/>
      </c>
      <c r="J53" s="22">
        <f>IF(AND(ISNUMBER(I53),ISNUMBER(F53)),I53-F53,"")</f>
        <v/>
      </c>
      <c r="K53" s="23">
        <f>IF(AND(ISNUMBER(I53),ISNUMBER(F53)),IF(I53=0,"",(I53-F53)/I53),"")</f>
        <v/>
      </c>
      <c r="L53" s="22" t="n"/>
      <c r="M53" s="24">
        <f>IF(AND(ISNUMBER(I53),ISNUMBER(L53)),I53-L53,"")</f>
        <v/>
      </c>
      <c r="N53" s="25">
        <f>IF(AND(C53="",E53=""),"",IF(AND(H53&lt;&gt;"",NOT(ISNUMBER(H53))),"Cek Harga Manual",IF(AND(F53="-",NOT(ISNUMBER(H53))),"Isi Harga Manual",IF(F53="-","HPP akan dihapus",IF(AND(F53&lt;&gt;"",NOT(ISNUMBER(F53))),"Cek HPP",IF(AND(ISNUMBER(G53),OR(G53&lt;0,G53&gt;20)),"Cek Markup",IF(NOT(ISNUMBER(I53)),"Harga belum ada",IF(F53="","HPP kosong",IF(F53=0,"HPP 0, cek",IF(I53&lt;=F53,"RUGI / impas",IF(NOT(ISNUMBER(L53)),"Baru",IF(M53=0,"OK",IF(ABS(M53)&gt;=0.3*L53,"Berubah besar","Harga berubah")))))))))))))</f>
        <v/>
      </c>
      <c r="O53" s="18" t="n"/>
      <c r="P53" s="18" t="n"/>
      <c r="Q53" s="26" t="n"/>
    </row>
    <row r="54">
      <c r="A54" s="17" t="n"/>
      <c r="B54" s="18" t="n"/>
      <c r="C54" s="19" t="n"/>
      <c r="D54" s="19" t="n"/>
      <c r="E54" s="19" t="n"/>
      <c r="F54" s="20" t="n"/>
      <c r="G54" s="21" t="n"/>
      <c r="H54" s="20" t="n"/>
      <c r="I54" s="22">
        <f>IF(ISNUMBER(H54),H54,IF(AND(ISNUMBER(F54),ISNUMBER(G54)),CEILING(ROUND(F54*(1+G54),2),1000),""))</f>
        <v/>
      </c>
      <c r="J54" s="22">
        <f>IF(AND(ISNUMBER(I54),ISNUMBER(F54)),I54-F54,"")</f>
        <v/>
      </c>
      <c r="K54" s="23">
        <f>IF(AND(ISNUMBER(I54),ISNUMBER(F54)),IF(I54=0,"",(I54-F54)/I54),"")</f>
        <v/>
      </c>
      <c r="L54" s="22" t="n"/>
      <c r="M54" s="24">
        <f>IF(AND(ISNUMBER(I54),ISNUMBER(L54)),I54-L54,"")</f>
        <v/>
      </c>
      <c r="N54" s="25">
        <f>IF(AND(C54="",E54=""),"",IF(AND(H54&lt;&gt;"",NOT(ISNUMBER(H54))),"Cek Harga Manual",IF(AND(F54="-",NOT(ISNUMBER(H54))),"Isi Harga Manual",IF(F54="-","HPP akan dihapus",IF(AND(F54&lt;&gt;"",NOT(ISNUMBER(F54))),"Cek HPP",IF(AND(ISNUMBER(G54),OR(G54&lt;0,G54&gt;20)),"Cek Markup",IF(NOT(ISNUMBER(I54)),"Harga belum ada",IF(F54="","HPP kosong",IF(F54=0,"HPP 0, cek",IF(I54&lt;=F54,"RUGI / impas",IF(NOT(ISNUMBER(L54)),"Baru",IF(M54=0,"OK",IF(ABS(M54)&gt;=0.3*L54,"Berubah besar","Harga berubah")))))))))))))</f>
        <v/>
      </c>
      <c r="O54" s="18" t="n"/>
      <c r="P54" s="18" t="n"/>
      <c r="Q54" s="26" t="n"/>
    </row>
    <row r="55">
      <c r="A55" s="17" t="n"/>
      <c r="B55" s="18" t="n"/>
      <c r="C55" s="19" t="n"/>
      <c r="D55" s="19" t="n"/>
      <c r="E55" s="19" t="n"/>
      <c r="F55" s="20" t="n"/>
      <c r="G55" s="21" t="n"/>
      <c r="H55" s="20" t="n"/>
      <c r="I55" s="22">
        <f>IF(ISNUMBER(H55),H55,IF(AND(ISNUMBER(F55),ISNUMBER(G55)),CEILING(ROUND(F55*(1+G55),2),1000),""))</f>
        <v/>
      </c>
      <c r="J55" s="22">
        <f>IF(AND(ISNUMBER(I55),ISNUMBER(F55)),I55-F55,"")</f>
        <v/>
      </c>
      <c r="K55" s="23">
        <f>IF(AND(ISNUMBER(I55),ISNUMBER(F55)),IF(I55=0,"",(I55-F55)/I55),"")</f>
        <v/>
      </c>
      <c r="L55" s="22" t="n"/>
      <c r="M55" s="24">
        <f>IF(AND(ISNUMBER(I55),ISNUMBER(L55)),I55-L55,"")</f>
        <v/>
      </c>
      <c r="N55" s="25">
        <f>IF(AND(C55="",E55=""),"",IF(AND(H55&lt;&gt;"",NOT(ISNUMBER(H55))),"Cek Harga Manual",IF(AND(F55="-",NOT(ISNUMBER(H55))),"Isi Harga Manual",IF(F55="-","HPP akan dihapus",IF(AND(F55&lt;&gt;"",NOT(ISNUMBER(F55))),"Cek HPP",IF(AND(ISNUMBER(G55),OR(G55&lt;0,G55&gt;20)),"Cek Markup",IF(NOT(ISNUMBER(I55)),"Harga belum ada",IF(F55="","HPP kosong",IF(F55=0,"HPP 0, cek",IF(I55&lt;=F55,"RUGI / impas",IF(NOT(ISNUMBER(L55)),"Baru",IF(M55=0,"OK",IF(ABS(M55)&gt;=0.3*L55,"Berubah besar","Harga berubah")))))))))))))</f>
        <v/>
      </c>
      <c r="O55" s="18" t="n"/>
      <c r="P55" s="18" t="n"/>
      <c r="Q55" s="26" t="n"/>
    </row>
    <row r="56">
      <c r="A56" s="17" t="n"/>
      <c r="B56" s="18" t="n"/>
      <c r="C56" s="19" t="n"/>
      <c r="D56" s="19" t="n"/>
      <c r="E56" s="19" t="n"/>
      <c r="F56" s="20" t="n"/>
      <c r="G56" s="21" t="n"/>
      <c r="H56" s="20" t="n"/>
      <c r="I56" s="22">
        <f>IF(ISNUMBER(H56),H56,IF(AND(ISNUMBER(F56),ISNUMBER(G56)),CEILING(ROUND(F56*(1+G56),2),1000),""))</f>
        <v/>
      </c>
      <c r="J56" s="22">
        <f>IF(AND(ISNUMBER(I56),ISNUMBER(F56)),I56-F56,"")</f>
        <v/>
      </c>
      <c r="K56" s="23">
        <f>IF(AND(ISNUMBER(I56),ISNUMBER(F56)),IF(I56=0,"",(I56-F56)/I56),"")</f>
        <v/>
      </c>
      <c r="L56" s="22" t="n"/>
      <c r="M56" s="24">
        <f>IF(AND(ISNUMBER(I56),ISNUMBER(L56)),I56-L56,"")</f>
        <v/>
      </c>
      <c r="N56" s="25">
        <f>IF(AND(C56="",E56=""),"",IF(AND(H56&lt;&gt;"",NOT(ISNUMBER(H56))),"Cek Harga Manual",IF(AND(F56="-",NOT(ISNUMBER(H56))),"Isi Harga Manual",IF(F56="-","HPP akan dihapus",IF(AND(F56&lt;&gt;"",NOT(ISNUMBER(F56))),"Cek HPP",IF(AND(ISNUMBER(G56),OR(G56&lt;0,G56&gt;20)),"Cek Markup",IF(NOT(ISNUMBER(I56)),"Harga belum ada",IF(F56="","HPP kosong",IF(F56=0,"HPP 0, cek",IF(I56&lt;=F56,"RUGI / impas",IF(NOT(ISNUMBER(L56)),"Baru",IF(M56=0,"OK",IF(ABS(M56)&gt;=0.3*L56,"Berubah besar","Harga berubah")))))))))))))</f>
        <v/>
      </c>
      <c r="O56" s="18" t="n"/>
      <c r="P56" s="18" t="n"/>
      <c r="Q56" s="26" t="n"/>
    </row>
    <row r="57">
      <c r="A57" s="17" t="n"/>
      <c r="B57" s="18" t="n"/>
      <c r="C57" s="19" t="n"/>
      <c r="D57" s="19" t="n"/>
      <c r="E57" s="19" t="n"/>
      <c r="F57" s="20" t="n"/>
      <c r="G57" s="21" t="n"/>
      <c r="H57" s="20" t="n"/>
      <c r="I57" s="22">
        <f>IF(ISNUMBER(H57),H57,IF(AND(ISNUMBER(F57),ISNUMBER(G57)),CEILING(ROUND(F57*(1+G57),2),1000),""))</f>
        <v/>
      </c>
      <c r="J57" s="22">
        <f>IF(AND(ISNUMBER(I57),ISNUMBER(F57)),I57-F57,"")</f>
        <v/>
      </c>
      <c r="K57" s="23">
        <f>IF(AND(ISNUMBER(I57),ISNUMBER(F57)),IF(I57=0,"",(I57-F57)/I57),"")</f>
        <v/>
      </c>
      <c r="L57" s="22" t="n"/>
      <c r="M57" s="24">
        <f>IF(AND(ISNUMBER(I57),ISNUMBER(L57)),I57-L57,"")</f>
        <v/>
      </c>
      <c r="N57" s="25">
        <f>IF(AND(C57="",E57=""),"",IF(AND(H57&lt;&gt;"",NOT(ISNUMBER(H57))),"Cek Harga Manual",IF(AND(F57="-",NOT(ISNUMBER(H57))),"Isi Harga Manual",IF(F57="-","HPP akan dihapus",IF(AND(F57&lt;&gt;"",NOT(ISNUMBER(F57))),"Cek HPP",IF(AND(ISNUMBER(G57),OR(G57&lt;0,G57&gt;20)),"Cek Markup",IF(NOT(ISNUMBER(I57)),"Harga belum ada",IF(F57="","HPP kosong",IF(F57=0,"HPP 0, cek",IF(I57&lt;=F57,"RUGI / impas",IF(NOT(ISNUMBER(L57)),"Baru",IF(M57=0,"OK",IF(ABS(M57)&gt;=0.3*L57,"Berubah besar","Harga berubah")))))))))))))</f>
        <v/>
      </c>
      <c r="O57" s="18" t="n"/>
      <c r="P57" s="18" t="n"/>
      <c r="Q57" s="26" t="n"/>
    </row>
    <row r="58">
      <c r="A58" s="17" t="n"/>
      <c r="B58" s="18" t="n"/>
      <c r="C58" s="19" t="n"/>
      <c r="D58" s="19" t="n"/>
      <c r="E58" s="19" t="n"/>
      <c r="F58" s="20" t="n"/>
      <c r="G58" s="21" t="n"/>
      <c r="H58" s="20" t="n"/>
      <c r="I58" s="22">
        <f>IF(ISNUMBER(H58),H58,IF(AND(ISNUMBER(F58),ISNUMBER(G58)),CEILING(ROUND(F58*(1+G58),2),1000),""))</f>
        <v/>
      </c>
      <c r="J58" s="22">
        <f>IF(AND(ISNUMBER(I58),ISNUMBER(F58)),I58-F58,"")</f>
        <v/>
      </c>
      <c r="K58" s="23">
        <f>IF(AND(ISNUMBER(I58),ISNUMBER(F58)),IF(I58=0,"",(I58-F58)/I58),"")</f>
        <v/>
      </c>
      <c r="L58" s="22" t="n"/>
      <c r="M58" s="24">
        <f>IF(AND(ISNUMBER(I58),ISNUMBER(L58)),I58-L58,"")</f>
        <v/>
      </c>
      <c r="N58" s="25">
        <f>IF(AND(C58="",E58=""),"",IF(AND(H58&lt;&gt;"",NOT(ISNUMBER(H58))),"Cek Harga Manual",IF(AND(F58="-",NOT(ISNUMBER(H58))),"Isi Harga Manual",IF(F58="-","HPP akan dihapus",IF(AND(F58&lt;&gt;"",NOT(ISNUMBER(F58))),"Cek HPP",IF(AND(ISNUMBER(G58),OR(G58&lt;0,G58&gt;20)),"Cek Markup",IF(NOT(ISNUMBER(I58)),"Harga belum ada",IF(F58="","HPP kosong",IF(F58=0,"HPP 0, cek",IF(I58&lt;=F58,"RUGI / impas",IF(NOT(ISNUMBER(L58)),"Baru",IF(M58=0,"OK",IF(ABS(M58)&gt;=0.3*L58,"Berubah besar","Harga berubah")))))))))))))</f>
        <v/>
      </c>
      <c r="O58" s="18" t="n"/>
      <c r="P58" s="18" t="n"/>
      <c r="Q58" s="26" t="n"/>
    </row>
    <row r="59">
      <c r="A59" s="17" t="n"/>
      <c r="B59" s="18" t="n"/>
      <c r="C59" s="19" t="n"/>
      <c r="D59" s="19" t="n"/>
      <c r="E59" s="19" t="n"/>
      <c r="F59" s="20" t="n"/>
      <c r="G59" s="21" t="n"/>
      <c r="H59" s="20" t="n"/>
      <c r="I59" s="22">
        <f>IF(ISNUMBER(H59),H59,IF(AND(ISNUMBER(F59),ISNUMBER(G59)),CEILING(ROUND(F59*(1+G59),2),1000),""))</f>
        <v/>
      </c>
      <c r="J59" s="22">
        <f>IF(AND(ISNUMBER(I59),ISNUMBER(F59)),I59-F59,"")</f>
        <v/>
      </c>
      <c r="K59" s="23">
        <f>IF(AND(ISNUMBER(I59),ISNUMBER(F59)),IF(I59=0,"",(I59-F59)/I59),"")</f>
        <v/>
      </c>
      <c r="L59" s="22" t="n"/>
      <c r="M59" s="24">
        <f>IF(AND(ISNUMBER(I59),ISNUMBER(L59)),I59-L59,"")</f>
        <v/>
      </c>
      <c r="N59" s="25">
        <f>IF(AND(C59="",E59=""),"",IF(AND(H59&lt;&gt;"",NOT(ISNUMBER(H59))),"Cek Harga Manual",IF(AND(F59="-",NOT(ISNUMBER(H59))),"Isi Harga Manual",IF(F59="-","HPP akan dihapus",IF(AND(F59&lt;&gt;"",NOT(ISNUMBER(F59))),"Cek HPP",IF(AND(ISNUMBER(G59),OR(G59&lt;0,G59&gt;20)),"Cek Markup",IF(NOT(ISNUMBER(I59)),"Harga belum ada",IF(F59="","HPP kosong",IF(F59=0,"HPP 0, cek",IF(I59&lt;=F59,"RUGI / impas",IF(NOT(ISNUMBER(L59)),"Baru",IF(M59=0,"OK",IF(ABS(M59)&gt;=0.3*L59,"Berubah besar","Harga berubah")))))))))))))</f>
        <v/>
      </c>
      <c r="O59" s="18" t="n"/>
      <c r="P59" s="18" t="n"/>
      <c r="Q59" s="26" t="n"/>
    </row>
    <row r="60">
      <c r="A60" s="17" t="n"/>
      <c r="B60" s="18" t="n"/>
      <c r="C60" s="19" t="n"/>
      <c r="D60" s="19" t="n"/>
      <c r="E60" s="19" t="n"/>
      <c r="F60" s="20" t="n"/>
      <c r="G60" s="21" t="n"/>
      <c r="H60" s="20" t="n"/>
      <c r="I60" s="22">
        <f>IF(ISNUMBER(H60),H60,IF(AND(ISNUMBER(F60),ISNUMBER(G60)),CEILING(ROUND(F60*(1+G60),2),1000),""))</f>
        <v/>
      </c>
      <c r="J60" s="22">
        <f>IF(AND(ISNUMBER(I60),ISNUMBER(F60)),I60-F60,"")</f>
        <v/>
      </c>
      <c r="K60" s="23">
        <f>IF(AND(ISNUMBER(I60),ISNUMBER(F60)),IF(I60=0,"",(I60-F60)/I60),"")</f>
        <v/>
      </c>
      <c r="L60" s="22" t="n"/>
      <c r="M60" s="24">
        <f>IF(AND(ISNUMBER(I60),ISNUMBER(L60)),I60-L60,"")</f>
        <v/>
      </c>
      <c r="N60" s="25">
        <f>IF(AND(C60="",E60=""),"",IF(AND(H60&lt;&gt;"",NOT(ISNUMBER(H60))),"Cek Harga Manual",IF(AND(F60="-",NOT(ISNUMBER(H60))),"Isi Harga Manual",IF(F60="-","HPP akan dihapus",IF(AND(F60&lt;&gt;"",NOT(ISNUMBER(F60))),"Cek HPP",IF(AND(ISNUMBER(G60),OR(G60&lt;0,G60&gt;20)),"Cek Markup",IF(NOT(ISNUMBER(I60)),"Harga belum ada",IF(F60="","HPP kosong",IF(F60=0,"HPP 0, cek",IF(I60&lt;=F60,"RUGI / impas",IF(NOT(ISNUMBER(L60)),"Baru",IF(M60=0,"OK",IF(ABS(M60)&gt;=0.3*L60,"Berubah besar","Harga berubah")))))))))))))</f>
        <v/>
      </c>
      <c r="O60" s="18" t="n"/>
      <c r="P60" s="18" t="n"/>
      <c r="Q60" s="26" t="n"/>
    </row>
    <row r="61">
      <c r="A61" s="17" t="n"/>
      <c r="B61" s="18" t="n"/>
      <c r="C61" s="19" t="n"/>
      <c r="D61" s="19" t="n"/>
      <c r="E61" s="19" t="n"/>
      <c r="F61" s="20" t="n"/>
      <c r="G61" s="21" t="n"/>
      <c r="H61" s="20" t="n"/>
      <c r="I61" s="22">
        <f>IF(ISNUMBER(H61),H61,IF(AND(ISNUMBER(F61),ISNUMBER(G61)),CEILING(ROUND(F61*(1+G61),2),1000),""))</f>
        <v/>
      </c>
      <c r="J61" s="22">
        <f>IF(AND(ISNUMBER(I61),ISNUMBER(F61)),I61-F61,"")</f>
        <v/>
      </c>
      <c r="K61" s="23">
        <f>IF(AND(ISNUMBER(I61),ISNUMBER(F61)),IF(I61=0,"",(I61-F61)/I61),"")</f>
        <v/>
      </c>
      <c r="L61" s="22" t="n"/>
      <c r="M61" s="24">
        <f>IF(AND(ISNUMBER(I61),ISNUMBER(L61)),I61-L61,"")</f>
        <v/>
      </c>
      <c r="N61" s="25">
        <f>IF(AND(C61="",E61=""),"",IF(AND(H61&lt;&gt;"",NOT(ISNUMBER(H61))),"Cek Harga Manual",IF(AND(F61="-",NOT(ISNUMBER(H61))),"Isi Harga Manual",IF(F61="-","HPP akan dihapus",IF(AND(F61&lt;&gt;"",NOT(ISNUMBER(F61))),"Cek HPP",IF(AND(ISNUMBER(G61),OR(G61&lt;0,G61&gt;20)),"Cek Markup",IF(NOT(ISNUMBER(I61)),"Harga belum ada",IF(F61="","HPP kosong",IF(F61=0,"HPP 0, cek",IF(I61&lt;=F61,"RUGI / impas",IF(NOT(ISNUMBER(L61)),"Baru",IF(M61=0,"OK",IF(ABS(M61)&gt;=0.3*L61,"Berubah besar","Harga berubah")))))))))))))</f>
        <v/>
      </c>
      <c r="O61" s="18" t="n"/>
      <c r="P61" s="18" t="n"/>
      <c r="Q61" s="26" t="n"/>
    </row>
    <row r="62">
      <c r="A62" s="17" t="n"/>
      <c r="B62" s="18" t="n"/>
      <c r="C62" s="19" t="n"/>
      <c r="D62" s="19" t="n"/>
      <c r="E62" s="19" t="n"/>
      <c r="F62" s="20" t="n"/>
      <c r="G62" s="21" t="n"/>
      <c r="H62" s="20" t="n"/>
      <c r="I62" s="22">
        <f>IF(ISNUMBER(H62),H62,IF(AND(ISNUMBER(F62),ISNUMBER(G62)),CEILING(ROUND(F62*(1+G62),2),1000),""))</f>
        <v/>
      </c>
      <c r="J62" s="22">
        <f>IF(AND(ISNUMBER(I62),ISNUMBER(F62)),I62-F62,"")</f>
        <v/>
      </c>
      <c r="K62" s="23">
        <f>IF(AND(ISNUMBER(I62),ISNUMBER(F62)),IF(I62=0,"",(I62-F62)/I62),"")</f>
        <v/>
      </c>
      <c r="L62" s="22" t="n"/>
      <c r="M62" s="24">
        <f>IF(AND(ISNUMBER(I62),ISNUMBER(L62)),I62-L62,"")</f>
        <v/>
      </c>
      <c r="N62" s="25">
        <f>IF(AND(C62="",E62=""),"",IF(AND(H62&lt;&gt;"",NOT(ISNUMBER(H62))),"Cek Harga Manual",IF(AND(F62="-",NOT(ISNUMBER(H62))),"Isi Harga Manual",IF(F62="-","HPP akan dihapus",IF(AND(F62&lt;&gt;"",NOT(ISNUMBER(F62))),"Cek HPP",IF(AND(ISNUMBER(G62),OR(G62&lt;0,G62&gt;20)),"Cek Markup",IF(NOT(ISNUMBER(I62)),"Harga belum ada",IF(F62="","HPP kosong",IF(F62=0,"HPP 0, cek",IF(I62&lt;=F62,"RUGI / impas",IF(NOT(ISNUMBER(L62)),"Baru",IF(M62=0,"OK",IF(ABS(M62)&gt;=0.3*L62,"Berubah besar","Harga berubah")))))))))))))</f>
        <v/>
      </c>
      <c r="O62" s="18" t="n"/>
      <c r="P62" s="18" t="n"/>
      <c r="Q62" s="26" t="n"/>
    </row>
    <row r="63">
      <c r="A63" s="17" t="n"/>
      <c r="B63" s="18" t="n"/>
      <c r="C63" s="19" t="n"/>
      <c r="D63" s="19" t="n"/>
      <c r="E63" s="19" t="n"/>
      <c r="F63" s="20" t="n"/>
      <c r="G63" s="21" t="n"/>
      <c r="H63" s="20" t="n"/>
      <c r="I63" s="22">
        <f>IF(ISNUMBER(H63),H63,IF(AND(ISNUMBER(F63),ISNUMBER(G63)),CEILING(ROUND(F63*(1+G63),2),1000),""))</f>
        <v/>
      </c>
      <c r="J63" s="22">
        <f>IF(AND(ISNUMBER(I63),ISNUMBER(F63)),I63-F63,"")</f>
        <v/>
      </c>
      <c r="K63" s="23">
        <f>IF(AND(ISNUMBER(I63),ISNUMBER(F63)),IF(I63=0,"",(I63-F63)/I63),"")</f>
        <v/>
      </c>
      <c r="L63" s="22" t="n"/>
      <c r="M63" s="24">
        <f>IF(AND(ISNUMBER(I63),ISNUMBER(L63)),I63-L63,"")</f>
        <v/>
      </c>
      <c r="N63" s="25">
        <f>IF(AND(C63="",E63=""),"",IF(AND(H63&lt;&gt;"",NOT(ISNUMBER(H63))),"Cek Harga Manual",IF(AND(F63="-",NOT(ISNUMBER(H63))),"Isi Harga Manual",IF(F63="-","HPP akan dihapus",IF(AND(F63&lt;&gt;"",NOT(ISNUMBER(F63))),"Cek HPP",IF(AND(ISNUMBER(G63),OR(G63&lt;0,G63&gt;20)),"Cek Markup",IF(NOT(ISNUMBER(I63)),"Harga belum ada",IF(F63="","HPP kosong",IF(F63=0,"HPP 0, cek",IF(I63&lt;=F63,"RUGI / impas",IF(NOT(ISNUMBER(L63)),"Baru",IF(M63=0,"OK",IF(ABS(M63)&gt;=0.3*L63,"Berubah besar","Harga berubah")))))))))))))</f>
        <v/>
      </c>
      <c r="O63" s="18" t="n"/>
      <c r="P63" s="18" t="n"/>
      <c r="Q63" s="26" t="n"/>
    </row>
    <row r="64">
      <c r="A64" s="17" t="n"/>
      <c r="B64" s="18" t="n"/>
      <c r="C64" s="19" t="n"/>
      <c r="D64" s="19" t="n"/>
      <c r="E64" s="19" t="n"/>
      <c r="F64" s="20" t="n"/>
      <c r="G64" s="21" t="n"/>
      <c r="H64" s="20" t="n"/>
      <c r="I64" s="22">
        <f>IF(ISNUMBER(H64),H64,IF(AND(ISNUMBER(F64),ISNUMBER(G64)),CEILING(ROUND(F64*(1+G64),2),1000),""))</f>
        <v/>
      </c>
      <c r="J64" s="22">
        <f>IF(AND(ISNUMBER(I64),ISNUMBER(F64)),I64-F64,"")</f>
        <v/>
      </c>
      <c r="K64" s="23">
        <f>IF(AND(ISNUMBER(I64),ISNUMBER(F64)),IF(I64=0,"",(I64-F64)/I64),"")</f>
        <v/>
      </c>
      <c r="L64" s="22" t="n"/>
      <c r="M64" s="24">
        <f>IF(AND(ISNUMBER(I64),ISNUMBER(L64)),I64-L64,"")</f>
        <v/>
      </c>
      <c r="N64" s="25">
        <f>IF(AND(C64="",E64=""),"",IF(AND(H64&lt;&gt;"",NOT(ISNUMBER(H64))),"Cek Harga Manual",IF(AND(F64="-",NOT(ISNUMBER(H64))),"Isi Harga Manual",IF(F64="-","HPP akan dihapus",IF(AND(F64&lt;&gt;"",NOT(ISNUMBER(F64))),"Cek HPP",IF(AND(ISNUMBER(G64),OR(G64&lt;0,G64&gt;20)),"Cek Markup",IF(NOT(ISNUMBER(I64)),"Harga belum ada",IF(F64="","HPP kosong",IF(F64=0,"HPP 0, cek",IF(I64&lt;=F64,"RUGI / impas",IF(NOT(ISNUMBER(L64)),"Baru",IF(M64=0,"OK",IF(ABS(M64)&gt;=0.3*L64,"Berubah besar","Harga berubah")))))))))))))</f>
        <v/>
      </c>
      <c r="O64" s="18" t="n"/>
      <c r="P64" s="18" t="n"/>
      <c r="Q64" s="26" t="n"/>
    </row>
    <row r="65">
      <c r="A65" s="17" t="n"/>
      <c r="B65" s="18" t="n"/>
      <c r="C65" s="19" t="n"/>
      <c r="D65" s="19" t="n"/>
      <c r="E65" s="19" t="n"/>
      <c r="F65" s="20" t="n"/>
      <c r="G65" s="21" t="n"/>
      <c r="H65" s="20" t="n"/>
      <c r="I65" s="22">
        <f>IF(ISNUMBER(H65),H65,IF(AND(ISNUMBER(F65),ISNUMBER(G65)),CEILING(ROUND(F65*(1+G65),2),1000),""))</f>
        <v/>
      </c>
      <c r="J65" s="22">
        <f>IF(AND(ISNUMBER(I65),ISNUMBER(F65)),I65-F65,"")</f>
        <v/>
      </c>
      <c r="K65" s="23">
        <f>IF(AND(ISNUMBER(I65),ISNUMBER(F65)),IF(I65=0,"",(I65-F65)/I65),"")</f>
        <v/>
      </c>
      <c r="L65" s="22" t="n"/>
      <c r="M65" s="24">
        <f>IF(AND(ISNUMBER(I65),ISNUMBER(L65)),I65-L65,"")</f>
        <v/>
      </c>
      <c r="N65" s="25">
        <f>IF(AND(C65="",E65=""),"",IF(AND(H65&lt;&gt;"",NOT(ISNUMBER(H65))),"Cek Harga Manual",IF(AND(F65="-",NOT(ISNUMBER(H65))),"Isi Harga Manual",IF(F65="-","HPP akan dihapus",IF(AND(F65&lt;&gt;"",NOT(ISNUMBER(F65))),"Cek HPP",IF(AND(ISNUMBER(G65),OR(G65&lt;0,G65&gt;20)),"Cek Markup",IF(NOT(ISNUMBER(I65)),"Harga belum ada",IF(F65="","HPP kosong",IF(F65=0,"HPP 0, cek",IF(I65&lt;=F65,"RUGI / impas",IF(NOT(ISNUMBER(L65)),"Baru",IF(M65=0,"OK",IF(ABS(M65)&gt;=0.3*L65,"Berubah besar","Harga berubah")))))))))))))</f>
        <v/>
      </c>
      <c r="O65" s="18" t="n"/>
      <c r="P65" s="18" t="n"/>
      <c r="Q65" s="26" t="n"/>
    </row>
    <row r="66">
      <c r="A66" s="17" t="n"/>
      <c r="B66" s="18" t="n"/>
      <c r="C66" s="19" t="n"/>
      <c r="D66" s="19" t="n"/>
      <c r="E66" s="19" t="n"/>
      <c r="F66" s="20" t="n"/>
      <c r="G66" s="21" t="n"/>
      <c r="H66" s="20" t="n"/>
      <c r="I66" s="22">
        <f>IF(ISNUMBER(H66),H66,IF(AND(ISNUMBER(F66),ISNUMBER(G66)),CEILING(ROUND(F66*(1+G66),2),1000),""))</f>
        <v/>
      </c>
      <c r="J66" s="22">
        <f>IF(AND(ISNUMBER(I66),ISNUMBER(F66)),I66-F66,"")</f>
        <v/>
      </c>
      <c r="K66" s="23">
        <f>IF(AND(ISNUMBER(I66),ISNUMBER(F66)),IF(I66=0,"",(I66-F66)/I66),"")</f>
        <v/>
      </c>
      <c r="L66" s="22" t="n"/>
      <c r="M66" s="24">
        <f>IF(AND(ISNUMBER(I66),ISNUMBER(L66)),I66-L66,"")</f>
        <v/>
      </c>
      <c r="N66" s="25">
        <f>IF(AND(C66="",E66=""),"",IF(AND(H66&lt;&gt;"",NOT(ISNUMBER(H66))),"Cek Harga Manual",IF(AND(F66="-",NOT(ISNUMBER(H66))),"Isi Harga Manual",IF(F66="-","HPP akan dihapus",IF(AND(F66&lt;&gt;"",NOT(ISNUMBER(F66))),"Cek HPP",IF(AND(ISNUMBER(G66),OR(G66&lt;0,G66&gt;20)),"Cek Markup",IF(NOT(ISNUMBER(I66)),"Harga belum ada",IF(F66="","HPP kosong",IF(F66=0,"HPP 0, cek",IF(I66&lt;=F66,"RUGI / impas",IF(NOT(ISNUMBER(L66)),"Baru",IF(M66=0,"OK",IF(ABS(M66)&gt;=0.3*L66,"Berubah besar","Harga berubah")))))))))))))</f>
        <v/>
      </c>
      <c r="O66" s="18" t="n"/>
      <c r="P66" s="18" t="n"/>
      <c r="Q66" s="26" t="n"/>
    </row>
    <row r="67">
      <c r="A67" s="17" t="n"/>
      <c r="B67" s="18" t="n"/>
      <c r="C67" s="19" t="n"/>
      <c r="D67" s="19" t="n"/>
      <c r="E67" s="19" t="n"/>
      <c r="F67" s="20" t="n"/>
      <c r="G67" s="21" t="n"/>
      <c r="H67" s="20" t="n"/>
      <c r="I67" s="22">
        <f>IF(ISNUMBER(H67),H67,IF(AND(ISNUMBER(F67),ISNUMBER(G67)),CEILING(ROUND(F67*(1+G67),2),1000),""))</f>
        <v/>
      </c>
      <c r="J67" s="22">
        <f>IF(AND(ISNUMBER(I67),ISNUMBER(F67)),I67-F67,"")</f>
        <v/>
      </c>
      <c r="K67" s="23">
        <f>IF(AND(ISNUMBER(I67),ISNUMBER(F67)),IF(I67=0,"",(I67-F67)/I67),"")</f>
        <v/>
      </c>
      <c r="L67" s="22" t="n"/>
      <c r="M67" s="24">
        <f>IF(AND(ISNUMBER(I67),ISNUMBER(L67)),I67-L67,"")</f>
        <v/>
      </c>
      <c r="N67" s="25">
        <f>IF(AND(C67="",E67=""),"",IF(AND(H67&lt;&gt;"",NOT(ISNUMBER(H67))),"Cek Harga Manual",IF(AND(F67="-",NOT(ISNUMBER(H67))),"Isi Harga Manual",IF(F67="-","HPP akan dihapus",IF(AND(F67&lt;&gt;"",NOT(ISNUMBER(F67))),"Cek HPP",IF(AND(ISNUMBER(G67),OR(G67&lt;0,G67&gt;20)),"Cek Markup",IF(NOT(ISNUMBER(I67)),"Harga belum ada",IF(F67="","HPP kosong",IF(F67=0,"HPP 0, cek",IF(I67&lt;=F67,"RUGI / impas",IF(NOT(ISNUMBER(L67)),"Baru",IF(M67=0,"OK",IF(ABS(M67)&gt;=0.3*L67,"Berubah besar","Harga berubah")))))))))))))</f>
        <v/>
      </c>
      <c r="O67" s="18" t="n"/>
      <c r="P67" s="18" t="n"/>
      <c r="Q67" s="26" t="n"/>
    </row>
    <row r="68">
      <c r="A68" s="17" t="n"/>
      <c r="B68" s="18" t="n"/>
      <c r="C68" s="19" t="n"/>
      <c r="D68" s="19" t="n"/>
      <c r="E68" s="19" t="n"/>
      <c r="F68" s="20" t="n"/>
      <c r="G68" s="21" t="n"/>
      <c r="H68" s="20" t="n"/>
      <c r="I68" s="22">
        <f>IF(ISNUMBER(H68),H68,IF(AND(ISNUMBER(F68),ISNUMBER(G68)),CEILING(ROUND(F68*(1+G68),2),1000),""))</f>
        <v/>
      </c>
      <c r="J68" s="22">
        <f>IF(AND(ISNUMBER(I68),ISNUMBER(F68)),I68-F68,"")</f>
        <v/>
      </c>
      <c r="K68" s="23">
        <f>IF(AND(ISNUMBER(I68),ISNUMBER(F68)),IF(I68=0,"",(I68-F68)/I68),"")</f>
        <v/>
      </c>
      <c r="L68" s="22" t="n"/>
      <c r="M68" s="24">
        <f>IF(AND(ISNUMBER(I68),ISNUMBER(L68)),I68-L68,"")</f>
        <v/>
      </c>
      <c r="N68" s="25">
        <f>IF(AND(C68="",E68=""),"",IF(AND(H68&lt;&gt;"",NOT(ISNUMBER(H68))),"Cek Harga Manual",IF(AND(F68="-",NOT(ISNUMBER(H68))),"Isi Harga Manual",IF(F68="-","HPP akan dihapus",IF(AND(F68&lt;&gt;"",NOT(ISNUMBER(F68))),"Cek HPP",IF(AND(ISNUMBER(G68),OR(G68&lt;0,G68&gt;20)),"Cek Markup",IF(NOT(ISNUMBER(I68)),"Harga belum ada",IF(F68="","HPP kosong",IF(F68=0,"HPP 0, cek",IF(I68&lt;=F68,"RUGI / impas",IF(NOT(ISNUMBER(L68)),"Baru",IF(M68=0,"OK",IF(ABS(M68)&gt;=0.3*L68,"Berubah besar","Harga berubah")))))))))))))</f>
        <v/>
      </c>
      <c r="O68" s="18" t="n"/>
      <c r="P68" s="18" t="n"/>
      <c r="Q68" s="26" t="n"/>
    </row>
    <row r="69">
      <c r="A69" s="17" t="n"/>
      <c r="B69" s="18" t="n"/>
      <c r="C69" s="19" t="n"/>
      <c r="D69" s="19" t="n"/>
      <c r="E69" s="19" t="n"/>
      <c r="F69" s="20" t="n"/>
      <c r="G69" s="21" t="n"/>
      <c r="H69" s="20" t="n"/>
      <c r="I69" s="22">
        <f>IF(ISNUMBER(H69),H69,IF(AND(ISNUMBER(F69),ISNUMBER(G69)),CEILING(ROUND(F69*(1+G69),2),1000),""))</f>
        <v/>
      </c>
      <c r="J69" s="22">
        <f>IF(AND(ISNUMBER(I69),ISNUMBER(F69)),I69-F69,"")</f>
        <v/>
      </c>
      <c r="K69" s="23">
        <f>IF(AND(ISNUMBER(I69),ISNUMBER(F69)),IF(I69=0,"",(I69-F69)/I69),"")</f>
        <v/>
      </c>
      <c r="L69" s="22" t="n"/>
      <c r="M69" s="24">
        <f>IF(AND(ISNUMBER(I69),ISNUMBER(L69)),I69-L69,"")</f>
        <v/>
      </c>
      <c r="N69" s="25">
        <f>IF(AND(C69="",E69=""),"",IF(AND(H69&lt;&gt;"",NOT(ISNUMBER(H69))),"Cek Harga Manual",IF(AND(F69="-",NOT(ISNUMBER(H69))),"Isi Harga Manual",IF(F69="-","HPP akan dihapus",IF(AND(F69&lt;&gt;"",NOT(ISNUMBER(F69))),"Cek HPP",IF(AND(ISNUMBER(G69),OR(G69&lt;0,G69&gt;20)),"Cek Markup",IF(NOT(ISNUMBER(I69)),"Harga belum ada",IF(F69="","HPP kosong",IF(F69=0,"HPP 0, cek",IF(I69&lt;=F69,"RUGI / impas",IF(NOT(ISNUMBER(L69)),"Baru",IF(M69=0,"OK",IF(ABS(M69)&gt;=0.3*L69,"Berubah besar","Harga berubah")))))))))))))</f>
        <v/>
      </c>
      <c r="O69" s="18" t="n"/>
      <c r="P69" s="18" t="n"/>
      <c r="Q69" s="26" t="n"/>
    </row>
    <row r="70">
      <c r="A70" s="17" t="n"/>
      <c r="B70" s="18" t="n"/>
      <c r="C70" s="19" t="n"/>
      <c r="D70" s="19" t="n"/>
      <c r="E70" s="19" t="n"/>
      <c r="F70" s="20" t="n"/>
      <c r="G70" s="21" t="n"/>
      <c r="H70" s="20" t="n"/>
      <c r="I70" s="22">
        <f>IF(ISNUMBER(H70),H70,IF(AND(ISNUMBER(F70),ISNUMBER(G70)),CEILING(ROUND(F70*(1+G70),2),1000),""))</f>
        <v/>
      </c>
      <c r="J70" s="22">
        <f>IF(AND(ISNUMBER(I70),ISNUMBER(F70)),I70-F70,"")</f>
        <v/>
      </c>
      <c r="K70" s="23">
        <f>IF(AND(ISNUMBER(I70),ISNUMBER(F70)),IF(I70=0,"",(I70-F70)/I70),"")</f>
        <v/>
      </c>
      <c r="L70" s="22" t="n"/>
      <c r="M70" s="24">
        <f>IF(AND(ISNUMBER(I70),ISNUMBER(L70)),I70-L70,"")</f>
        <v/>
      </c>
      <c r="N70" s="25">
        <f>IF(AND(C70="",E70=""),"",IF(AND(H70&lt;&gt;"",NOT(ISNUMBER(H70))),"Cek Harga Manual",IF(AND(F70="-",NOT(ISNUMBER(H70))),"Isi Harga Manual",IF(F70="-","HPP akan dihapus",IF(AND(F70&lt;&gt;"",NOT(ISNUMBER(F70))),"Cek HPP",IF(AND(ISNUMBER(G70),OR(G70&lt;0,G70&gt;20)),"Cek Markup",IF(NOT(ISNUMBER(I70)),"Harga belum ada",IF(F70="","HPP kosong",IF(F70=0,"HPP 0, cek",IF(I70&lt;=F70,"RUGI / impas",IF(NOT(ISNUMBER(L70)),"Baru",IF(M70=0,"OK",IF(ABS(M70)&gt;=0.3*L70,"Berubah besar","Harga berubah")))))))))))))</f>
        <v/>
      </c>
      <c r="O70" s="18" t="n"/>
      <c r="P70" s="18" t="n"/>
      <c r="Q70" s="26" t="n"/>
    </row>
    <row r="71">
      <c r="A71" s="17" t="n"/>
      <c r="B71" s="18" t="n"/>
      <c r="C71" s="19" t="n"/>
      <c r="D71" s="19" t="n"/>
      <c r="E71" s="19" t="n"/>
      <c r="F71" s="20" t="n"/>
      <c r="G71" s="21" t="n"/>
      <c r="H71" s="20" t="n"/>
      <c r="I71" s="22">
        <f>IF(ISNUMBER(H71),H71,IF(AND(ISNUMBER(F71),ISNUMBER(G71)),CEILING(ROUND(F71*(1+G71),2),1000),""))</f>
        <v/>
      </c>
      <c r="J71" s="22">
        <f>IF(AND(ISNUMBER(I71),ISNUMBER(F71)),I71-F71,"")</f>
        <v/>
      </c>
      <c r="K71" s="23">
        <f>IF(AND(ISNUMBER(I71),ISNUMBER(F71)),IF(I71=0,"",(I71-F71)/I71),"")</f>
        <v/>
      </c>
      <c r="L71" s="22" t="n"/>
      <c r="M71" s="24">
        <f>IF(AND(ISNUMBER(I71),ISNUMBER(L71)),I71-L71,"")</f>
        <v/>
      </c>
      <c r="N71" s="25">
        <f>IF(AND(C71="",E71=""),"",IF(AND(H71&lt;&gt;"",NOT(ISNUMBER(H71))),"Cek Harga Manual",IF(AND(F71="-",NOT(ISNUMBER(H71))),"Isi Harga Manual",IF(F71="-","HPP akan dihapus",IF(AND(F71&lt;&gt;"",NOT(ISNUMBER(F71))),"Cek HPP",IF(AND(ISNUMBER(G71),OR(G71&lt;0,G71&gt;20)),"Cek Markup",IF(NOT(ISNUMBER(I71)),"Harga belum ada",IF(F71="","HPP kosong",IF(F71=0,"HPP 0, cek",IF(I71&lt;=F71,"RUGI / impas",IF(NOT(ISNUMBER(L71)),"Baru",IF(M71=0,"OK",IF(ABS(M71)&gt;=0.3*L71,"Berubah besar","Harga berubah")))))))))))))</f>
        <v/>
      </c>
      <c r="O71" s="18" t="n"/>
      <c r="P71" s="18" t="n"/>
      <c r="Q71" s="26" t="n"/>
    </row>
    <row r="72">
      <c r="A72" s="17" t="n"/>
      <c r="B72" s="18" t="n"/>
      <c r="C72" s="19" t="n"/>
      <c r="D72" s="19" t="n"/>
      <c r="E72" s="19" t="n"/>
      <c r="F72" s="20" t="n"/>
      <c r="G72" s="21" t="n"/>
      <c r="H72" s="20" t="n"/>
      <c r="I72" s="22">
        <f>IF(ISNUMBER(H72),H72,IF(AND(ISNUMBER(F72),ISNUMBER(G72)),CEILING(ROUND(F72*(1+G72),2),1000),""))</f>
        <v/>
      </c>
      <c r="J72" s="22">
        <f>IF(AND(ISNUMBER(I72),ISNUMBER(F72)),I72-F72,"")</f>
        <v/>
      </c>
      <c r="K72" s="23">
        <f>IF(AND(ISNUMBER(I72),ISNUMBER(F72)),IF(I72=0,"",(I72-F72)/I72),"")</f>
        <v/>
      </c>
      <c r="L72" s="22" t="n"/>
      <c r="M72" s="24">
        <f>IF(AND(ISNUMBER(I72),ISNUMBER(L72)),I72-L72,"")</f>
        <v/>
      </c>
      <c r="N72" s="25">
        <f>IF(AND(C72="",E72=""),"",IF(AND(H72&lt;&gt;"",NOT(ISNUMBER(H72))),"Cek Harga Manual",IF(AND(F72="-",NOT(ISNUMBER(H72))),"Isi Harga Manual",IF(F72="-","HPP akan dihapus",IF(AND(F72&lt;&gt;"",NOT(ISNUMBER(F72))),"Cek HPP",IF(AND(ISNUMBER(G72),OR(G72&lt;0,G72&gt;20)),"Cek Markup",IF(NOT(ISNUMBER(I72)),"Harga belum ada",IF(F72="","HPP kosong",IF(F72=0,"HPP 0, cek",IF(I72&lt;=F72,"RUGI / impas",IF(NOT(ISNUMBER(L72)),"Baru",IF(M72=0,"OK",IF(ABS(M72)&gt;=0.3*L72,"Berubah besar","Harga berubah")))))))))))))</f>
        <v/>
      </c>
      <c r="O72" s="18" t="n"/>
      <c r="P72" s="18" t="n"/>
      <c r="Q72" s="26" t="n"/>
    </row>
    <row r="73">
      <c r="A73" s="17" t="n"/>
      <c r="B73" s="18" t="n"/>
      <c r="C73" s="19" t="n"/>
      <c r="D73" s="19" t="n"/>
      <c r="E73" s="19" t="n"/>
      <c r="F73" s="20" t="n"/>
      <c r="G73" s="21" t="n"/>
      <c r="H73" s="20" t="n"/>
      <c r="I73" s="22">
        <f>IF(ISNUMBER(H73),H73,IF(AND(ISNUMBER(F73),ISNUMBER(G73)),CEILING(ROUND(F73*(1+G73),2),1000),""))</f>
        <v/>
      </c>
      <c r="J73" s="22">
        <f>IF(AND(ISNUMBER(I73),ISNUMBER(F73)),I73-F73,"")</f>
        <v/>
      </c>
      <c r="K73" s="23">
        <f>IF(AND(ISNUMBER(I73),ISNUMBER(F73)),IF(I73=0,"",(I73-F73)/I73),"")</f>
        <v/>
      </c>
      <c r="L73" s="22" t="n"/>
      <c r="M73" s="24">
        <f>IF(AND(ISNUMBER(I73),ISNUMBER(L73)),I73-L73,"")</f>
        <v/>
      </c>
      <c r="N73" s="25">
        <f>IF(AND(C73="",E73=""),"",IF(AND(H73&lt;&gt;"",NOT(ISNUMBER(H73))),"Cek Harga Manual",IF(AND(F73="-",NOT(ISNUMBER(H73))),"Isi Harga Manual",IF(F73="-","HPP akan dihapus",IF(AND(F73&lt;&gt;"",NOT(ISNUMBER(F73))),"Cek HPP",IF(AND(ISNUMBER(G73),OR(G73&lt;0,G73&gt;20)),"Cek Markup",IF(NOT(ISNUMBER(I73)),"Harga belum ada",IF(F73="","HPP kosong",IF(F73=0,"HPP 0, cek",IF(I73&lt;=F73,"RUGI / impas",IF(NOT(ISNUMBER(L73)),"Baru",IF(M73=0,"OK",IF(ABS(M73)&gt;=0.3*L73,"Berubah besar","Harga berubah")))))))))))))</f>
        <v/>
      </c>
      <c r="O73" s="18" t="n"/>
      <c r="P73" s="18" t="n"/>
      <c r="Q73" s="26" t="n"/>
    </row>
    <row r="74">
      <c r="A74" s="17" t="n"/>
      <c r="B74" s="18" t="n"/>
      <c r="C74" s="19" t="n"/>
      <c r="D74" s="19" t="n"/>
      <c r="E74" s="19" t="n"/>
      <c r="F74" s="20" t="n"/>
      <c r="G74" s="21" t="n"/>
      <c r="H74" s="20" t="n"/>
      <c r="I74" s="22">
        <f>IF(ISNUMBER(H74),H74,IF(AND(ISNUMBER(F74),ISNUMBER(G74)),CEILING(ROUND(F74*(1+G74),2),1000),""))</f>
        <v/>
      </c>
      <c r="J74" s="22">
        <f>IF(AND(ISNUMBER(I74),ISNUMBER(F74)),I74-F74,"")</f>
        <v/>
      </c>
      <c r="K74" s="23">
        <f>IF(AND(ISNUMBER(I74),ISNUMBER(F74)),IF(I74=0,"",(I74-F74)/I74),"")</f>
        <v/>
      </c>
      <c r="L74" s="22" t="n"/>
      <c r="M74" s="24">
        <f>IF(AND(ISNUMBER(I74),ISNUMBER(L74)),I74-L74,"")</f>
        <v/>
      </c>
      <c r="N74" s="25">
        <f>IF(AND(C74="",E74=""),"",IF(AND(H74&lt;&gt;"",NOT(ISNUMBER(H74))),"Cek Harga Manual",IF(AND(F74="-",NOT(ISNUMBER(H74))),"Isi Harga Manual",IF(F74="-","HPP akan dihapus",IF(AND(F74&lt;&gt;"",NOT(ISNUMBER(F74))),"Cek HPP",IF(AND(ISNUMBER(G74),OR(G74&lt;0,G74&gt;20)),"Cek Markup",IF(NOT(ISNUMBER(I74)),"Harga belum ada",IF(F74="","HPP kosong",IF(F74=0,"HPP 0, cek",IF(I74&lt;=F74,"RUGI / impas",IF(NOT(ISNUMBER(L74)),"Baru",IF(M74=0,"OK",IF(ABS(M74)&gt;=0.3*L74,"Berubah besar","Harga berubah")))))))))))))</f>
        <v/>
      </c>
      <c r="O74" s="18" t="n"/>
      <c r="P74" s="18" t="n"/>
      <c r="Q74" s="26" t="n"/>
    </row>
    <row r="75">
      <c r="A75" s="17" t="n"/>
      <c r="B75" s="18" t="n"/>
      <c r="C75" s="19" t="n"/>
      <c r="D75" s="19" t="n"/>
      <c r="E75" s="19" t="n"/>
      <c r="F75" s="20" t="n"/>
      <c r="G75" s="21" t="n"/>
      <c r="H75" s="20" t="n"/>
      <c r="I75" s="22">
        <f>IF(ISNUMBER(H75),H75,IF(AND(ISNUMBER(F75),ISNUMBER(G75)),CEILING(ROUND(F75*(1+G75),2),1000),""))</f>
        <v/>
      </c>
      <c r="J75" s="22">
        <f>IF(AND(ISNUMBER(I75),ISNUMBER(F75)),I75-F75,"")</f>
        <v/>
      </c>
      <c r="K75" s="23">
        <f>IF(AND(ISNUMBER(I75),ISNUMBER(F75)),IF(I75=0,"",(I75-F75)/I75),"")</f>
        <v/>
      </c>
      <c r="L75" s="22" t="n"/>
      <c r="M75" s="24">
        <f>IF(AND(ISNUMBER(I75),ISNUMBER(L75)),I75-L75,"")</f>
        <v/>
      </c>
      <c r="N75" s="25">
        <f>IF(AND(C75="",E75=""),"",IF(AND(H75&lt;&gt;"",NOT(ISNUMBER(H75))),"Cek Harga Manual",IF(AND(F75="-",NOT(ISNUMBER(H75))),"Isi Harga Manual",IF(F75="-","HPP akan dihapus",IF(AND(F75&lt;&gt;"",NOT(ISNUMBER(F75))),"Cek HPP",IF(AND(ISNUMBER(G75),OR(G75&lt;0,G75&gt;20)),"Cek Markup",IF(NOT(ISNUMBER(I75)),"Harga belum ada",IF(F75="","HPP kosong",IF(F75=0,"HPP 0, cek",IF(I75&lt;=F75,"RUGI / impas",IF(NOT(ISNUMBER(L75)),"Baru",IF(M75=0,"OK",IF(ABS(M75)&gt;=0.3*L75,"Berubah besar","Harga berubah")))))))))))))</f>
        <v/>
      </c>
      <c r="O75" s="18" t="n"/>
      <c r="P75" s="18" t="n"/>
      <c r="Q75" s="26" t="n"/>
    </row>
    <row r="76">
      <c r="A76" s="17" t="n"/>
      <c r="B76" s="18" t="n"/>
      <c r="C76" s="19" t="n"/>
      <c r="D76" s="19" t="n"/>
      <c r="E76" s="19" t="n"/>
      <c r="F76" s="20" t="n"/>
      <c r="G76" s="21" t="n"/>
      <c r="H76" s="20" t="n"/>
      <c r="I76" s="22">
        <f>IF(ISNUMBER(H76),H76,IF(AND(ISNUMBER(F76),ISNUMBER(G76)),CEILING(ROUND(F76*(1+G76),2),1000),""))</f>
        <v/>
      </c>
      <c r="J76" s="22">
        <f>IF(AND(ISNUMBER(I76),ISNUMBER(F76)),I76-F76,"")</f>
        <v/>
      </c>
      <c r="K76" s="23">
        <f>IF(AND(ISNUMBER(I76),ISNUMBER(F76)),IF(I76=0,"",(I76-F76)/I76),"")</f>
        <v/>
      </c>
      <c r="L76" s="22" t="n"/>
      <c r="M76" s="24">
        <f>IF(AND(ISNUMBER(I76),ISNUMBER(L76)),I76-L76,"")</f>
        <v/>
      </c>
      <c r="N76" s="25">
        <f>IF(AND(C76="",E76=""),"",IF(AND(H76&lt;&gt;"",NOT(ISNUMBER(H76))),"Cek Harga Manual",IF(AND(F76="-",NOT(ISNUMBER(H76))),"Isi Harga Manual",IF(F76="-","HPP akan dihapus",IF(AND(F76&lt;&gt;"",NOT(ISNUMBER(F76))),"Cek HPP",IF(AND(ISNUMBER(G76),OR(G76&lt;0,G76&gt;20)),"Cek Markup",IF(NOT(ISNUMBER(I76)),"Harga belum ada",IF(F76="","HPP kosong",IF(F76=0,"HPP 0, cek",IF(I76&lt;=F76,"RUGI / impas",IF(NOT(ISNUMBER(L76)),"Baru",IF(M76=0,"OK",IF(ABS(M76)&gt;=0.3*L76,"Berubah besar","Harga berubah")))))))))))))</f>
        <v/>
      </c>
      <c r="O76" s="18" t="n"/>
      <c r="P76" s="18" t="n"/>
      <c r="Q76" s="26" t="n"/>
    </row>
    <row r="77">
      <c r="A77" s="17" t="n"/>
      <c r="B77" s="18" t="n"/>
      <c r="C77" s="19" t="n"/>
      <c r="D77" s="19" t="n"/>
      <c r="E77" s="19" t="n"/>
      <c r="F77" s="20" t="n"/>
      <c r="G77" s="21" t="n"/>
      <c r="H77" s="20" t="n"/>
      <c r="I77" s="22">
        <f>IF(ISNUMBER(H77),H77,IF(AND(ISNUMBER(F77),ISNUMBER(G77)),CEILING(ROUND(F77*(1+G77),2),1000),""))</f>
        <v/>
      </c>
      <c r="J77" s="22">
        <f>IF(AND(ISNUMBER(I77),ISNUMBER(F77)),I77-F77,"")</f>
        <v/>
      </c>
      <c r="K77" s="23">
        <f>IF(AND(ISNUMBER(I77),ISNUMBER(F77)),IF(I77=0,"",(I77-F77)/I77),"")</f>
        <v/>
      </c>
      <c r="L77" s="22" t="n"/>
      <c r="M77" s="24">
        <f>IF(AND(ISNUMBER(I77),ISNUMBER(L77)),I77-L77,"")</f>
        <v/>
      </c>
      <c r="N77" s="25">
        <f>IF(AND(C77="",E77=""),"",IF(AND(H77&lt;&gt;"",NOT(ISNUMBER(H77))),"Cek Harga Manual",IF(AND(F77="-",NOT(ISNUMBER(H77))),"Isi Harga Manual",IF(F77="-","HPP akan dihapus",IF(AND(F77&lt;&gt;"",NOT(ISNUMBER(F77))),"Cek HPP",IF(AND(ISNUMBER(G77),OR(G77&lt;0,G77&gt;20)),"Cek Markup",IF(NOT(ISNUMBER(I77)),"Harga belum ada",IF(F77="","HPP kosong",IF(F77=0,"HPP 0, cek",IF(I77&lt;=F77,"RUGI / impas",IF(NOT(ISNUMBER(L77)),"Baru",IF(M77=0,"OK",IF(ABS(M77)&gt;=0.3*L77,"Berubah besar","Harga berubah")))))))))))))</f>
        <v/>
      </c>
      <c r="O77" s="18" t="n"/>
      <c r="P77" s="18" t="n"/>
      <c r="Q77" s="26" t="n"/>
    </row>
    <row r="78">
      <c r="A78" s="17" t="n"/>
      <c r="B78" s="18" t="n"/>
      <c r="C78" s="19" t="n"/>
      <c r="D78" s="19" t="n"/>
      <c r="E78" s="19" t="n"/>
      <c r="F78" s="20" t="n"/>
      <c r="G78" s="21" t="n"/>
      <c r="H78" s="20" t="n"/>
      <c r="I78" s="22">
        <f>IF(ISNUMBER(H78),H78,IF(AND(ISNUMBER(F78),ISNUMBER(G78)),CEILING(ROUND(F78*(1+G78),2),1000),""))</f>
        <v/>
      </c>
      <c r="J78" s="22">
        <f>IF(AND(ISNUMBER(I78),ISNUMBER(F78)),I78-F78,"")</f>
        <v/>
      </c>
      <c r="K78" s="23">
        <f>IF(AND(ISNUMBER(I78),ISNUMBER(F78)),IF(I78=0,"",(I78-F78)/I78),"")</f>
        <v/>
      </c>
      <c r="L78" s="22" t="n"/>
      <c r="M78" s="24">
        <f>IF(AND(ISNUMBER(I78),ISNUMBER(L78)),I78-L78,"")</f>
        <v/>
      </c>
      <c r="N78" s="25">
        <f>IF(AND(C78="",E78=""),"",IF(AND(H78&lt;&gt;"",NOT(ISNUMBER(H78))),"Cek Harga Manual",IF(AND(F78="-",NOT(ISNUMBER(H78))),"Isi Harga Manual",IF(F78="-","HPP akan dihapus",IF(AND(F78&lt;&gt;"",NOT(ISNUMBER(F78))),"Cek HPP",IF(AND(ISNUMBER(G78),OR(G78&lt;0,G78&gt;20)),"Cek Markup",IF(NOT(ISNUMBER(I78)),"Harga belum ada",IF(F78="","HPP kosong",IF(F78=0,"HPP 0, cek",IF(I78&lt;=F78,"RUGI / impas",IF(NOT(ISNUMBER(L78)),"Baru",IF(M78=0,"OK",IF(ABS(M78)&gt;=0.3*L78,"Berubah besar","Harga berubah")))))))))))))</f>
        <v/>
      </c>
      <c r="O78" s="18" t="n"/>
      <c r="P78" s="18" t="n"/>
      <c r="Q78" s="26" t="n"/>
    </row>
    <row r="79">
      <c r="A79" s="17" t="n"/>
      <c r="B79" s="18" t="n"/>
      <c r="C79" s="19" t="n"/>
      <c r="D79" s="19" t="n"/>
      <c r="E79" s="19" t="n"/>
      <c r="F79" s="20" t="n"/>
      <c r="G79" s="21" t="n"/>
      <c r="H79" s="20" t="n"/>
      <c r="I79" s="22">
        <f>IF(ISNUMBER(H79),H79,IF(AND(ISNUMBER(F79),ISNUMBER(G79)),CEILING(ROUND(F79*(1+G79),2),1000),""))</f>
        <v/>
      </c>
      <c r="J79" s="22">
        <f>IF(AND(ISNUMBER(I79),ISNUMBER(F79)),I79-F79,"")</f>
        <v/>
      </c>
      <c r="K79" s="23">
        <f>IF(AND(ISNUMBER(I79),ISNUMBER(F79)),IF(I79=0,"",(I79-F79)/I79),"")</f>
        <v/>
      </c>
      <c r="L79" s="22" t="n"/>
      <c r="M79" s="24">
        <f>IF(AND(ISNUMBER(I79),ISNUMBER(L79)),I79-L79,"")</f>
        <v/>
      </c>
      <c r="N79" s="25">
        <f>IF(AND(C79="",E79=""),"",IF(AND(H79&lt;&gt;"",NOT(ISNUMBER(H79))),"Cek Harga Manual",IF(AND(F79="-",NOT(ISNUMBER(H79))),"Isi Harga Manual",IF(F79="-","HPP akan dihapus",IF(AND(F79&lt;&gt;"",NOT(ISNUMBER(F79))),"Cek HPP",IF(AND(ISNUMBER(G79),OR(G79&lt;0,G79&gt;20)),"Cek Markup",IF(NOT(ISNUMBER(I79)),"Harga belum ada",IF(F79="","HPP kosong",IF(F79=0,"HPP 0, cek",IF(I79&lt;=F79,"RUGI / impas",IF(NOT(ISNUMBER(L79)),"Baru",IF(M79=0,"OK",IF(ABS(M79)&gt;=0.3*L79,"Berubah besar","Harga berubah")))))))))))))</f>
        <v/>
      </c>
      <c r="O79" s="18" t="n"/>
      <c r="P79" s="18" t="n"/>
      <c r="Q79" s="26" t="n"/>
    </row>
    <row r="80">
      <c r="A80" s="17" t="n"/>
      <c r="B80" s="18" t="n"/>
      <c r="C80" s="19" t="n"/>
      <c r="D80" s="19" t="n"/>
      <c r="E80" s="19" t="n"/>
      <c r="F80" s="20" t="n"/>
      <c r="G80" s="21" t="n"/>
      <c r="H80" s="20" t="n"/>
      <c r="I80" s="22">
        <f>IF(ISNUMBER(H80),H80,IF(AND(ISNUMBER(F80),ISNUMBER(G80)),CEILING(ROUND(F80*(1+G80),2),1000),""))</f>
        <v/>
      </c>
      <c r="J80" s="22">
        <f>IF(AND(ISNUMBER(I80),ISNUMBER(F80)),I80-F80,"")</f>
        <v/>
      </c>
      <c r="K80" s="23">
        <f>IF(AND(ISNUMBER(I80),ISNUMBER(F80)),IF(I80=0,"",(I80-F80)/I80),"")</f>
        <v/>
      </c>
      <c r="L80" s="22" t="n"/>
      <c r="M80" s="24">
        <f>IF(AND(ISNUMBER(I80),ISNUMBER(L80)),I80-L80,"")</f>
        <v/>
      </c>
      <c r="N80" s="25">
        <f>IF(AND(C80="",E80=""),"",IF(AND(H80&lt;&gt;"",NOT(ISNUMBER(H80))),"Cek Harga Manual",IF(AND(F80="-",NOT(ISNUMBER(H80))),"Isi Harga Manual",IF(F80="-","HPP akan dihapus",IF(AND(F80&lt;&gt;"",NOT(ISNUMBER(F80))),"Cek HPP",IF(AND(ISNUMBER(G80),OR(G80&lt;0,G80&gt;20)),"Cek Markup",IF(NOT(ISNUMBER(I80)),"Harga belum ada",IF(F80="","HPP kosong",IF(F80=0,"HPP 0, cek",IF(I80&lt;=F80,"RUGI / impas",IF(NOT(ISNUMBER(L80)),"Baru",IF(M80=0,"OK",IF(ABS(M80)&gt;=0.3*L80,"Berubah besar","Harga berubah")))))))))))))</f>
        <v/>
      </c>
      <c r="O80" s="18" t="n"/>
      <c r="P80" s="18" t="n"/>
      <c r="Q80" s="26" t="n"/>
    </row>
    <row r="81">
      <c r="A81" s="17" t="n"/>
      <c r="B81" s="18" t="n"/>
      <c r="C81" s="19" t="n"/>
      <c r="D81" s="19" t="n"/>
      <c r="E81" s="19" t="n"/>
      <c r="F81" s="20" t="n"/>
      <c r="G81" s="21" t="n"/>
      <c r="H81" s="20" t="n"/>
      <c r="I81" s="22">
        <f>IF(ISNUMBER(H81),H81,IF(AND(ISNUMBER(F81),ISNUMBER(G81)),CEILING(ROUND(F81*(1+G81),2),1000),""))</f>
        <v/>
      </c>
      <c r="J81" s="22">
        <f>IF(AND(ISNUMBER(I81),ISNUMBER(F81)),I81-F81,"")</f>
        <v/>
      </c>
      <c r="K81" s="23">
        <f>IF(AND(ISNUMBER(I81),ISNUMBER(F81)),IF(I81=0,"",(I81-F81)/I81),"")</f>
        <v/>
      </c>
      <c r="L81" s="22" t="n"/>
      <c r="M81" s="24">
        <f>IF(AND(ISNUMBER(I81),ISNUMBER(L81)),I81-L81,"")</f>
        <v/>
      </c>
      <c r="N81" s="25">
        <f>IF(AND(C81="",E81=""),"",IF(AND(H81&lt;&gt;"",NOT(ISNUMBER(H81))),"Cek Harga Manual",IF(AND(F81="-",NOT(ISNUMBER(H81))),"Isi Harga Manual",IF(F81="-","HPP akan dihapus",IF(AND(F81&lt;&gt;"",NOT(ISNUMBER(F81))),"Cek HPP",IF(AND(ISNUMBER(G81),OR(G81&lt;0,G81&gt;20)),"Cek Markup",IF(NOT(ISNUMBER(I81)),"Harga belum ada",IF(F81="","HPP kosong",IF(F81=0,"HPP 0, cek",IF(I81&lt;=F81,"RUGI / impas",IF(NOT(ISNUMBER(L81)),"Baru",IF(M81=0,"OK",IF(ABS(M81)&gt;=0.3*L81,"Berubah besar","Harga berubah")))))))))))))</f>
        <v/>
      </c>
      <c r="O81" s="18" t="n"/>
      <c r="P81" s="18" t="n"/>
      <c r="Q81" s="26" t="n"/>
    </row>
    <row r="82">
      <c r="A82" s="17" t="n"/>
      <c r="B82" s="18" t="n"/>
      <c r="C82" s="19" t="n"/>
      <c r="D82" s="19" t="n"/>
      <c r="E82" s="19" t="n"/>
      <c r="F82" s="20" t="n"/>
      <c r="G82" s="21" t="n"/>
      <c r="H82" s="20" t="n"/>
      <c r="I82" s="22">
        <f>IF(ISNUMBER(H82),H82,IF(AND(ISNUMBER(F82),ISNUMBER(G82)),CEILING(ROUND(F82*(1+G82),2),1000),""))</f>
        <v/>
      </c>
      <c r="J82" s="22">
        <f>IF(AND(ISNUMBER(I82),ISNUMBER(F82)),I82-F82,"")</f>
        <v/>
      </c>
      <c r="K82" s="23">
        <f>IF(AND(ISNUMBER(I82),ISNUMBER(F82)),IF(I82=0,"",(I82-F82)/I82),"")</f>
        <v/>
      </c>
      <c r="L82" s="22" t="n"/>
      <c r="M82" s="24">
        <f>IF(AND(ISNUMBER(I82),ISNUMBER(L82)),I82-L82,"")</f>
        <v/>
      </c>
      <c r="N82" s="25">
        <f>IF(AND(C82="",E82=""),"",IF(AND(H82&lt;&gt;"",NOT(ISNUMBER(H82))),"Cek Harga Manual",IF(AND(F82="-",NOT(ISNUMBER(H82))),"Isi Harga Manual",IF(F82="-","HPP akan dihapus",IF(AND(F82&lt;&gt;"",NOT(ISNUMBER(F82))),"Cek HPP",IF(AND(ISNUMBER(G82),OR(G82&lt;0,G82&gt;20)),"Cek Markup",IF(NOT(ISNUMBER(I82)),"Harga belum ada",IF(F82="","HPP kosong",IF(F82=0,"HPP 0, cek",IF(I82&lt;=F82,"RUGI / impas",IF(NOT(ISNUMBER(L82)),"Baru",IF(M82=0,"OK",IF(ABS(M82)&gt;=0.3*L82,"Berubah besar","Harga berubah")))))))))))))</f>
        <v/>
      </c>
      <c r="O82" s="18" t="n"/>
      <c r="P82" s="18" t="n"/>
      <c r="Q82" s="26" t="n"/>
    </row>
    <row r="83">
      <c r="A83" s="17" t="n"/>
      <c r="B83" s="18" t="n"/>
      <c r="C83" s="19" t="n"/>
      <c r="D83" s="19" t="n"/>
      <c r="E83" s="19" t="n"/>
      <c r="F83" s="20" t="n"/>
      <c r="G83" s="21" t="n"/>
      <c r="H83" s="20" t="n"/>
      <c r="I83" s="22">
        <f>IF(ISNUMBER(H83),H83,IF(AND(ISNUMBER(F83),ISNUMBER(G83)),CEILING(ROUND(F83*(1+G83),2),1000),""))</f>
        <v/>
      </c>
      <c r="J83" s="22">
        <f>IF(AND(ISNUMBER(I83),ISNUMBER(F83)),I83-F83,"")</f>
        <v/>
      </c>
      <c r="K83" s="23">
        <f>IF(AND(ISNUMBER(I83),ISNUMBER(F83)),IF(I83=0,"",(I83-F83)/I83),"")</f>
        <v/>
      </c>
      <c r="L83" s="22" t="n"/>
      <c r="M83" s="24">
        <f>IF(AND(ISNUMBER(I83),ISNUMBER(L83)),I83-L83,"")</f>
        <v/>
      </c>
      <c r="N83" s="25">
        <f>IF(AND(C83="",E83=""),"",IF(AND(H83&lt;&gt;"",NOT(ISNUMBER(H83))),"Cek Harga Manual",IF(AND(F83="-",NOT(ISNUMBER(H83))),"Isi Harga Manual",IF(F83="-","HPP akan dihapus",IF(AND(F83&lt;&gt;"",NOT(ISNUMBER(F83))),"Cek HPP",IF(AND(ISNUMBER(G83),OR(G83&lt;0,G83&gt;20)),"Cek Markup",IF(NOT(ISNUMBER(I83)),"Harga belum ada",IF(F83="","HPP kosong",IF(F83=0,"HPP 0, cek",IF(I83&lt;=F83,"RUGI / impas",IF(NOT(ISNUMBER(L83)),"Baru",IF(M83=0,"OK",IF(ABS(M83)&gt;=0.3*L83,"Berubah besar","Harga berubah")))))))))))))</f>
        <v/>
      </c>
      <c r="O83" s="18" t="n"/>
      <c r="P83" s="18" t="n"/>
      <c r="Q83" s="26" t="n"/>
    </row>
    <row r="84">
      <c r="A84" s="17" t="n"/>
      <c r="B84" s="18" t="n"/>
      <c r="C84" s="19" t="n"/>
      <c r="D84" s="19" t="n"/>
      <c r="E84" s="19" t="n"/>
      <c r="F84" s="20" t="n"/>
      <c r="G84" s="21" t="n"/>
      <c r="H84" s="20" t="n"/>
      <c r="I84" s="22">
        <f>IF(ISNUMBER(H84),H84,IF(AND(ISNUMBER(F84),ISNUMBER(G84)),CEILING(ROUND(F84*(1+G84),2),1000),""))</f>
        <v/>
      </c>
      <c r="J84" s="22">
        <f>IF(AND(ISNUMBER(I84),ISNUMBER(F84)),I84-F84,"")</f>
        <v/>
      </c>
      <c r="K84" s="23">
        <f>IF(AND(ISNUMBER(I84),ISNUMBER(F84)),IF(I84=0,"",(I84-F84)/I84),"")</f>
        <v/>
      </c>
      <c r="L84" s="22" t="n"/>
      <c r="M84" s="24">
        <f>IF(AND(ISNUMBER(I84),ISNUMBER(L84)),I84-L84,"")</f>
        <v/>
      </c>
      <c r="N84" s="25">
        <f>IF(AND(C84="",E84=""),"",IF(AND(H84&lt;&gt;"",NOT(ISNUMBER(H84))),"Cek Harga Manual",IF(AND(F84="-",NOT(ISNUMBER(H84))),"Isi Harga Manual",IF(F84="-","HPP akan dihapus",IF(AND(F84&lt;&gt;"",NOT(ISNUMBER(F84))),"Cek HPP",IF(AND(ISNUMBER(G84),OR(G84&lt;0,G84&gt;20)),"Cek Markup",IF(NOT(ISNUMBER(I84)),"Harga belum ada",IF(F84="","HPP kosong",IF(F84=0,"HPP 0, cek",IF(I84&lt;=F84,"RUGI / impas",IF(NOT(ISNUMBER(L84)),"Baru",IF(M84=0,"OK",IF(ABS(M84)&gt;=0.3*L84,"Berubah besar","Harga berubah")))))))))))))</f>
        <v/>
      </c>
      <c r="O84" s="18" t="n"/>
      <c r="P84" s="18" t="n"/>
      <c r="Q84" s="26" t="n"/>
    </row>
    <row r="85">
      <c r="A85" s="17" t="n"/>
      <c r="B85" s="18" t="n"/>
      <c r="C85" s="19" t="n"/>
      <c r="D85" s="19" t="n"/>
      <c r="E85" s="19" t="n"/>
      <c r="F85" s="20" t="n"/>
      <c r="G85" s="21" t="n"/>
      <c r="H85" s="20" t="n"/>
      <c r="I85" s="22">
        <f>IF(ISNUMBER(H85),H85,IF(AND(ISNUMBER(F85),ISNUMBER(G85)),CEILING(ROUND(F85*(1+G85),2),1000),""))</f>
        <v/>
      </c>
      <c r="J85" s="22">
        <f>IF(AND(ISNUMBER(I85),ISNUMBER(F85)),I85-F85,"")</f>
        <v/>
      </c>
      <c r="K85" s="23">
        <f>IF(AND(ISNUMBER(I85),ISNUMBER(F85)),IF(I85=0,"",(I85-F85)/I85),"")</f>
        <v/>
      </c>
      <c r="L85" s="22" t="n"/>
      <c r="M85" s="24">
        <f>IF(AND(ISNUMBER(I85),ISNUMBER(L85)),I85-L85,"")</f>
        <v/>
      </c>
      <c r="N85" s="25">
        <f>IF(AND(C85="",E85=""),"",IF(AND(H85&lt;&gt;"",NOT(ISNUMBER(H85))),"Cek Harga Manual",IF(AND(F85="-",NOT(ISNUMBER(H85))),"Isi Harga Manual",IF(F85="-","HPP akan dihapus",IF(AND(F85&lt;&gt;"",NOT(ISNUMBER(F85))),"Cek HPP",IF(AND(ISNUMBER(G85),OR(G85&lt;0,G85&gt;20)),"Cek Markup",IF(NOT(ISNUMBER(I85)),"Harga belum ada",IF(F85="","HPP kosong",IF(F85=0,"HPP 0, cek",IF(I85&lt;=F85,"RUGI / impas",IF(NOT(ISNUMBER(L85)),"Baru",IF(M85=0,"OK",IF(ABS(M85)&gt;=0.3*L85,"Berubah besar","Harga berubah")))))))))))))</f>
        <v/>
      </c>
      <c r="O85" s="18" t="n"/>
      <c r="P85" s="18" t="n"/>
      <c r="Q85" s="26" t="n"/>
    </row>
    <row r="86">
      <c r="A86" s="17" t="n"/>
      <c r="B86" s="18" t="n"/>
      <c r="C86" s="19" t="n"/>
      <c r="D86" s="19" t="n"/>
      <c r="E86" s="19" t="n"/>
      <c r="F86" s="20" t="n"/>
      <c r="G86" s="21" t="n"/>
      <c r="H86" s="20" t="n"/>
      <c r="I86" s="22">
        <f>IF(ISNUMBER(H86),H86,IF(AND(ISNUMBER(F86),ISNUMBER(G86)),CEILING(ROUND(F86*(1+G86),2),1000),""))</f>
        <v/>
      </c>
      <c r="J86" s="22">
        <f>IF(AND(ISNUMBER(I86),ISNUMBER(F86)),I86-F86,"")</f>
        <v/>
      </c>
      <c r="K86" s="23">
        <f>IF(AND(ISNUMBER(I86),ISNUMBER(F86)),IF(I86=0,"",(I86-F86)/I86),"")</f>
        <v/>
      </c>
      <c r="L86" s="22" t="n"/>
      <c r="M86" s="24">
        <f>IF(AND(ISNUMBER(I86),ISNUMBER(L86)),I86-L86,"")</f>
        <v/>
      </c>
      <c r="N86" s="25">
        <f>IF(AND(C86="",E86=""),"",IF(AND(H86&lt;&gt;"",NOT(ISNUMBER(H86))),"Cek Harga Manual",IF(AND(F86="-",NOT(ISNUMBER(H86))),"Isi Harga Manual",IF(F86="-","HPP akan dihapus",IF(AND(F86&lt;&gt;"",NOT(ISNUMBER(F86))),"Cek HPP",IF(AND(ISNUMBER(G86),OR(G86&lt;0,G86&gt;20)),"Cek Markup",IF(NOT(ISNUMBER(I86)),"Harga belum ada",IF(F86="","HPP kosong",IF(F86=0,"HPP 0, cek",IF(I86&lt;=F86,"RUGI / impas",IF(NOT(ISNUMBER(L86)),"Baru",IF(M86=0,"OK",IF(ABS(M86)&gt;=0.3*L86,"Berubah besar","Harga berubah")))))))))))))</f>
        <v/>
      </c>
      <c r="O86" s="18" t="n"/>
      <c r="P86" s="18" t="n"/>
      <c r="Q86" s="26" t="n"/>
    </row>
    <row r="87">
      <c r="A87" s="17" t="n"/>
      <c r="B87" s="18" t="n"/>
      <c r="C87" s="19" t="n"/>
      <c r="D87" s="19" t="n"/>
      <c r="E87" s="19" t="n"/>
      <c r="F87" s="20" t="n"/>
      <c r="G87" s="21" t="n"/>
      <c r="H87" s="20" t="n"/>
      <c r="I87" s="22">
        <f>IF(ISNUMBER(H87),H87,IF(AND(ISNUMBER(F87),ISNUMBER(G87)),CEILING(ROUND(F87*(1+G87),2),1000),""))</f>
        <v/>
      </c>
      <c r="J87" s="22">
        <f>IF(AND(ISNUMBER(I87),ISNUMBER(F87)),I87-F87,"")</f>
        <v/>
      </c>
      <c r="K87" s="23">
        <f>IF(AND(ISNUMBER(I87),ISNUMBER(F87)),IF(I87=0,"",(I87-F87)/I87),"")</f>
        <v/>
      </c>
      <c r="L87" s="22" t="n"/>
      <c r="M87" s="24">
        <f>IF(AND(ISNUMBER(I87),ISNUMBER(L87)),I87-L87,"")</f>
        <v/>
      </c>
      <c r="N87" s="25">
        <f>IF(AND(C87="",E87=""),"",IF(AND(H87&lt;&gt;"",NOT(ISNUMBER(H87))),"Cek Harga Manual",IF(AND(F87="-",NOT(ISNUMBER(H87))),"Isi Harga Manual",IF(F87="-","HPP akan dihapus",IF(AND(F87&lt;&gt;"",NOT(ISNUMBER(F87))),"Cek HPP",IF(AND(ISNUMBER(G87),OR(G87&lt;0,G87&gt;20)),"Cek Markup",IF(NOT(ISNUMBER(I87)),"Harga belum ada",IF(F87="","HPP kosong",IF(F87=0,"HPP 0, cek",IF(I87&lt;=F87,"RUGI / impas",IF(NOT(ISNUMBER(L87)),"Baru",IF(M87=0,"OK",IF(ABS(M87)&gt;=0.3*L87,"Berubah besar","Harga berubah")))))))))))))</f>
        <v/>
      </c>
      <c r="O87" s="18" t="n"/>
      <c r="P87" s="18" t="n"/>
      <c r="Q87" s="26" t="n"/>
    </row>
    <row r="88">
      <c r="A88" s="17" t="n"/>
      <c r="B88" s="18" t="n"/>
      <c r="C88" s="19" t="n"/>
      <c r="D88" s="19" t="n"/>
      <c r="E88" s="19" t="n"/>
      <c r="F88" s="20" t="n"/>
      <c r="G88" s="21" t="n"/>
      <c r="H88" s="20" t="n"/>
      <c r="I88" s="22">
        <f>IF(ISNUMBER(H88),H88,IF(AND(ISNUMBER(F88),ISNUMBER(G88)),CEILING(ROUND(F88*(1+G88),2),1000),""))</f>
        <v/>
      </c>
      <c r="J88" s="22">
        <f>IF(AND(ISNUMBER(I88),ISNUMBER(F88)),I88-F88,"")</f>
        <v/>
      </c>
      <c r="K88" s="23">
        <f>IF(AND(ISNUMBER(I88),ISNUMBER(F88)),IF(I88=0,"",(I88-F88)/I88),"")</f>
        <v/>
      </c>
      <c r="L88" s="22" t="n"/>
      <c r="M88" s="24">
        <f>IF(AND(ISNUMBER(I88),ISNUMBER(L88)),I88-L88,"")</f>
        <v/>
      </c>
      <c r="N88" s="25">
        <f>IF(AND(C88="",E88=""),"",IF(AND(H88&lt;&gt;"",NOT(ISNUMBER(H88))),"Cek Harga Manual",IF(AND(F88="-",NOT(ISNUMBER(H88))),"Isi Harga Manual",IF(F88="-","HPP akan dihapus",IF(AND(F88&lt;&gt;"",NOT(ISNUMBER(F88))),"Cek HPP",IF(AND(ISNUMBER(G88),OR(G88&lt;0,G88&gt;20)),"Cek Markup",IF(NOT(ISNUMBER(I88)),"Harga belum ada",IF(F88="","HPP kosong",IF(F88=0,"HPP 0, cek",IF(I88&lt;=F88,"RUGI / impas",IF(NOT(ISNUMBER(L88)),"Baru",IF(M88=0,"OK",IF(ABS(M88)&gt;=0.3*L88,"Berubah besar","Harga berubah")))))))))))))</f>
        <v/>
      </c>
      <c r="O88" s="18" t="n"/>
      <c r="P88" s="18" t="n"/>
      <c r="Q88" s="26" t="n"/>
    </row>
    <row r="89">
      <c r="A89" s="17" t="n"/>
      <c r="B89" s="18" t="n"/>
      <c r="C89" s="19" t="n"/>
      <c r="D89" s="19" t="n"/>
      <c r="E89" s="19" t="n"/>
      <c r="F89" s="20" t="n"/>
      <c r="G89" s="21" t="n"/>
      <c r="H89" s="20" t="n"/>
      <c r="I89" s="22">
        <f>IF(ISNUMBER(H89),H89,IF(AND(ISNUMBER(F89),ISNUMBER(G89)),CEILING(ROUND(F89*(1+G89),2),1000),""))</f>
        <v/>
      </c>
      <c r="J89" s="22">
        <f>IF(AND(ISNUMBER(I89),ISNUMBER(F89)),I89-F89,"")</f>
        <v/>
      </c>
      <c r="K89" s="23">
        <f>IF(AND(ISNUMBER(I89),ISNUMBER(F89)),IF(I89=0,"",(I89-F89)/I89),"")</f>
        <v/>
      </c>
      <c r="L89" s="22" t="n"/>
      <c r="M89" s="24">
        <f>IF(AND(ISNUMBER(I89),ISNUMBER(L89)),I89-L89,"")</f>
        <v/>
      </c>
      <c r="N89" s="25">
        <f>IF(AND(C89="",E89=""),"",IF(AND(H89&lt;&gt;"",NOT(ISNUMBER(H89))),"Cek Harga Manual",IF(AND(F89="-",NOT(ISNUMBER(H89))),"Isi Harga Manual",IF(F89="-","HPP akan dihapus",IF(AND(F89&lt;&gt;"",NOT(ISNUMBER(F89))),"Cek HPP",IF(AND(ISNUMBER(G89),OR(G89&lt;0,G89&gt;20)),"Cek Markup",IF(NOT(ISNUMBER(I89)),"Harga belum ada",IF(F89="","HPP kosong",IF(F89=0,"HPP 0, cek",IF(I89&lt;=F89,"RUGI / impas",IF(NOT(ISNUMBER(L89)),"Baru",IF(M89=0,"OK",IF(ABS(M89)&gt;=0.3*L89,"Berubah besar","Harga berubah")))))))))))))</f>
        <v/>
      </c>
      <c r="O89" s="18" t="n"/>
      <c r="P89" s="18" t="n"/>
      <c r="Q89" s="26" t="n"/>
    </row>
    <row r="90">
      <c r="A90" s="17" t="n"/>
      <c r="B90" s="18" t="n"/>
      <c r="C90" s="19" t="n"/>
      <c r="D90" s="19" t="n"/>
      <c r="E90" s="19" t="n"/>
      <c r="F90" s="20" t="n"/>
      <c r="G90" s="21" t="n"/>
      <c r="H90" s="20" t="n"/>
      <c r="I90" s="22">
        <f>IF(ISNUMBER(H90),H90,IF(AND(ISNUMBER(F90),ISNUMBER(G90)),CEILING(ROUND(F90*(1+G90),2),1000),""))</f>
        <v/>
      </c>
      <c r="J90" s="22">
        <f>IF(AND(ISNUMBER(I90),ISNUMBER(F90)),I90-F90,"")</f>
        <v/>
      </c>
      <c r="K90" s="23">
        <f>IF(AND(ISNUMBER(I90),ISNUMBER(F90)),IF(I90=0,"",(I90-F90)/I90),"")</f>
        <v/>
      </c>
      <c r="L90" s="22" t="n"/>
      <c r="M90" s="24">
        <f>IF(AND(ISNUMBER(I90),ISNUMBER(L90)),I90-L90,"")</f>
        <v/>
      </c>
      <c r="N90" s="25">
        <f>IF(AND(C90="",E90=""),"",IF(AND(H90&lt;&gt;"",NOT(ISNUMBER(H90))),"Cek Harga Manual",IF(AND(F90="-",NOT(ISNUMBER(H90))),"Isi Harga Manual",IF(F90="-","HPP akan dihapus",IF(AND(F90&lt;&gt;"",NOT(ISNUMBER(F90))),"Cek HPP",IF(AND(ISNUMBER(G90),OR(G90&lt;0,G90&gt;20)),"Cek Markup",IF(NOT(ISNUMBER(I90)),"Harga belum ada",IF(F90="","HPP kosong",IF(F90=0,"HPP 0, cek",IF(I90&lt;=F90,"RUGI / impas",IF(NOT(ISNUMBER(L90)),"Baru",IF(M90=0,"OK",IF(ABS(M90)&gt;=0.3*L90,"Berubah besar","Harga berubah")))))))))))))</f>
        <v/>
      </c>
      <c r="O90" s="18" t="n"/>
      <c r="P90" s="18" t="n"/>
      <c r="Q90" s="26" t="n"/>
    </row>
    <row r="91">
      <c r="A91" s="17" t="n"/>
      <c r="B91" s="18" t="n"/>
      <c r="C91" s="19" t="n"/>
      <c r="D91" s="19" t="n"/>
      <c r="E91" s="19" t="n"/>
      <c r="F91" s="20" t="n"/>
      <c r="G91" s="21" t="n"/>
      <c r="H91" s="20" t="n"/>
      <c r="I91" s="22">
        <f>IF(ISNUMBER(H91),H91,IF(AND(ISNUMBER(F91),ISNUMBER(G91)),CEILING(ROUND(F91*(1+G91),2),1000),""))</f>
        <v/>
      </c>
      <c r="J91" s="22">
        <f>IF(AND(ISNUMBER(I91),ISNUMBER(F91)),I91-F91,"")</f>
        <v/>
      </c>
      <c r="K91" s="23">
        <f>IF(AND(ISNUMBER(I91),ISNUMBER(F91)),IF(I91=0,"",(I91-F91)/I91),"")</f>
        <v/>
      </c>
      <c r="L91" s="22" t="n"/>
      <c r="M91" s="24">
        <f>IF(AND(ISNUMBER(I91),ISNUMBER(L91)),I91-L91,"")</f>
        <v/>
      </c>
      <c r="N91" s="25">
        <f>IF(AND(C91="",E91=""),"",IF(AND(H91&lt;&gt;"",NOT(ISNUMBER(H91))),"Cek Harga Manual",IF(AND(F91="-",NOT(ISNUMBER(H91))),"Isi Harga Manual",IF(F91="-","HPP akan dihapus",IF(AND(F91&lt;&gt;"",NOT(ISNUMBER(F91))),"Cek HPP",IF(AND(ISNUMBER(G91),OR(G91&lt;0,G91&gt;20)),"Cek Markup",IF(NOT(ISNUMBER(I91)),"Harga belum ada",IF(F91="","HPP kosong",IF(F91=0,"HPP 0, cek",IF(I91&lt;=F91,"RUGI / impas",IF(NOT(ISNUMBER(L91)),"Baru",IF(M91=0,"OK",IF(ABS(M91)&gt;=0.3*L91,"Berubah besar","Harga berubah")))))))))))))</f>
        <v/>
      </c>
      <c r="O91" s="18" t="n"/>
      <c r="P91" s="18" t="n"/>
      <c r="Q91" s="26" t="n"/>
    </row>
    <row r="92">
      <c r="A92" s="17" t="n"/>
      <c r="B92" s="18" t="n"/>
      <c r="C92" s="19" t="n"/>
      <c r="D92" s="19" t="n"/>
      <c r="E92" s="19" t="n"/>
      <c r="F92" s="20" t="n"/>
      <c r="G92" s="21" t="n"/>
      <c r="H92" s="20" t="n"/>
      <c r="I92" s="22">
        <f>IF(ISNUMBER(H92),H92,IF(AND(ISNUMBER(F92),ISNUMBER(G92)),CEILING(ROUND(F92*(1+G92),2),1000),""))</f>
        <v/>
      </c>
      <c r="J92" s="22">
        <f>IF(AND(ISNUMBER(I92),ISNUMBER(F92)),I92-F92,"")</f>
        <v/>
      </c>
      <c r="K92" s="23">
        <f>IF(AND(ISNUMBER(I92),ISNUMBER(F92)),IF(I92=0,"",(I92-F92)/I92),"")</f>
        <v/>
      </c>
      <c r="L92" s="22" t="n"/>
      <c r="M92" s="24">
        <f>IF(AND(ISNUMBER(I92),ISNUMBER(L92)),I92-L92,"")</f>
        <v/>
      </c>
      <c r="N92" s="25">
        <f>IF(AND(C92="",E92=""),"",IF(AND(H92&lt;&gt;"",NOT(ISNUMBER(H92))),"Cek Harga Manual",IF(AND(F92="-",NOT(ISNUMBER(H92))),"Isi Harga Manual",IF(F92="-","HPP akan dihapus",IF(AND(F92&lt;&gt;"",NOT(ISNUMBER(F92))),"Cek HPP",IF(AND(ISNUMBER(G92),OR(G92&lt;0,G92&gt;20)),"Cek Markup",IF(NOT(ISNUMBER(I92)),"Harga belum ada",IF(F92="","HPP kosong",IF(F92=0,"HPP 0, cek",IF(I92&lt;=F92,"RUGI / impas",IF(NOT(ISNUMBER(L92)),"Baru",IF(M92=0,"OK",IF(ABS(M92)&gt;=0.3*L92,"Berubah besar","Harga berubah")))))))))))))</f>
        <v/>
      </c>
      <c r="O92" s="18" t="n"/>
      <c r="P92" s="18" t="n"/>
      <c r="Q92" s="26" t="n"/>
    </row>
    <row r="93">
      <c r="A93" s="17" t="n"/>
      <c r="B93" s="18" t="n"/>
      <c r="C93" s="19" t="n"/>
      <c r="D93" s="19" t="n"/>
      <c r="E93" s="19" t="n"/>
      <c r="F93" s="20" t="n"/>
      <c r="G93" s="21" t="n"/>
      <c r="H93" s="20" t="n"/>
      <c r="I93" s="22">
        <f>IF(ISNUMBER(H93),H93,IF(AND(ISNUMBER(F93),ISNUMBER(G93)),CEILING(ROUND(F93*(1+G93),2),1000),""))</f>
        <v/>
      </c>
      <c r="J93" s="22">
        <f>IF(AND(ISNUMBER(I93),ISNUMBER(F93)),I93-F93,"")</f>
        <v/>
      </c>
      <c r="K93" s="23">
        <f>IF(AND(ISNUMBER(I93),ISNUMBER(F93)),IF(I93=0,"",(I93-F93)/I93),"")</f>
        <v/>
      </c>
      <c r="L93" s="22" t="n"/>
      <c r="M93" s="24">
        <f>IF(AND(ISNUMBER(I93),ISNUMBER(L93)),I93-L93,"")</f>
        <v/>
      </c>
      <c r="N93" s="25">
        <f>IF(AND(C93="",E93=""),"",IF(AND(H93&lt;&gt;"",NOT(ISNUMBER(H93))),"Cek Harga Manual",IF(AND(F93="-",NOT(ISNUMBER(H93))),"Isi Harga Manual",IF(F93="-","HPP akan dihapus",IF(AND(F93&lt;&gt;"",NOT(ISNUMBER(F93))),"Cek HPP",IF(AND(ISNUMBER(G93),OR(G93&lt;0,G93&gt;20)),"Cek Markup",IF(NOT(ISNUMBER(I93)),"Harga belum ada",IF(F93="","HPP kosong",IF(F93=0,"HPP 0, cek",IF(I93&lt;=F93,"RUGI / impas",IF(NOT(ISNUMBER(L93)),"Baru",IF(M93=0,"OK",IF(ABS(M93)&gt;=0.3*L93,"Berubah besar","Harga berubah")))))))))))))</f>
        <v/>
      </c>
      <c r="O93" s="18" t="n"/>
      <c r="P93" s="18" t="n"/>
      <c r="Q93" s="26" t="n"/>
    </row>
    <row r="94">
      <c r="A94" s="17" t="n"/>
      <c r="B94" s="18" t="n"/>
      <c r="C94" s="19" t="n"/>
      <c r="D94" s="19" t="n"/>
      <c r="E94" s="19" t="n"/>
      <c r="F94" s="20" t="n"/>
      <c r="G94" s="21" t="n"/>
      <c r="H94" s="20" t="n"/>
      <c r="I94" s="22">
        <f>IF(ISNUMBER(H94),H94,IF(AND(ISNUMBER(F94),ISNUMBER(G94)),CEILING(ROUND(F94*(1+G94),2),1000),""))</f>
        <v/>
      </c>
      <c r="J94" s="22">
        <f>IF(AND(ISNUMBER(I94),ISNUMBER(F94)),I94-F94,"")</f>
        <v/>
      </c>
      <c r="K94" s="23">
        <f>IF(AND(ISNUMBER(I94),ISNUMBER(F94)),IF(I94=0,"",(I94-F94)/I94),"")</f>
        <v/>
      </c>
      <c r="L94" s="22" t="n"/>
      <c r="M94" s="24">
        <f>IF(AND(ISNUMBER(I94),ISNUMBER(L94)),I94-L94,"")</f>
        <v/>
      </c>
      <c r="N94" s="25">
        <f>IF(AND(C94="",E94=""),"",IF(AND(H94&lt;&gt;"",NOT(ISNUMBER(H94))),"Cek Harga Manual",IF(AND(F94="-",NOT(ISNUMBER(H94))),"Isi Harga Manual",IF(F94="-","HPP akan dihapus",IF(AND(F94&lt;&gt;"",NOT(ISNUMBER(F94))),"Cek HPP",IF(AND(ISNUMBER(G94),OR(G94&lt;0,G94&gt;20)),"Cek Markup",IF(NOT(ISNUMBER(I94)),"Harga belum ada",IF(F94="","HPP kosong",IF(F94=0,"HPP 0, cek",IF(I94&lt;=F94,"RUGI / impas",IF(NOT(ISNUMBER(L94)),"Baru",IF(M94=0,"OK",IF(ABS(M94)&gt;=0.3*L94,"Berubah besar","Harga berubah")))))))))))))</f>
        <v/>
      </c>
      <c r="O94" s="18" t="n"/>
      <c r="P94" s="18" t="n"/>
      <c r="Q94" s="26" t="n"/>
    </row>
    <row r="95">
      <c r="A95" s="17" t="n"/>
      <c r="B95" s="18" t="n"/>
      <c r="C95" s="19" t="n"/>
      <c r="D95" s="19" t="n"/>
      <c r="E95" s="19" t="n"/>
      <c r="F95" s="20" t="n"/>
      <c r="G95" s="21" t="n"/>
      <c r="H95" s="20" t="n"/>
      <c r="I95" s="22">
        <f>IF(ISNUMBER(H95),H95,IF(AND(ISNUMBER(F95),ISNUMBER(G95)),CEILING(ROUND(F95*(1+G95),2),1000),""))</f>
        <v/>
      </c>
      <c r="J95" s="22">
        <f>IF(AND(ISNUMBER(I95),ISNUMBER(F95)),I95-F95,"")</f>
        <v/>
      </c>
      <c r="K95" s="23">
        <f>IF(AND(ISNUMBER(I95),ISNUMBER(F95)),IF(I95=0,"",(I95-F95)/I95),"")</f>
        <v/>
      </c>
      <c r="L95" s="22" t="n"/>
      <c r="M95" s="24">
        <f>IF(AND(ISNUMBER(I95),ISNUMBER(L95)),I95-L95,"")</f>
        <v/>
      </c>
      <c r="N95" s="25">
        <f>IF(AND(C95="",E95=""),"",IF(AND(H95&lt;&gt;"",NOT(ISNUMBER(H95))),"Cek Harga Manual",IF(AND(F95="-",NOT(ISNUMBER(H95))),"Isi Harga Manual",IF(F95="-","HPP akan dihapus",IF(AND(F95&lt;&gt;"",NOT(ISNUMBER(F95))),"Cek HPP",IF(AND(ISNUMBER(G95),OR(G95&lt;0,G95&gt;20)),"Cek Markup",IF(NOT(ISNUMBER(I95)),"Harga belum ada",IF(F95="","HPP kosong",IF(F95=0,"HPP 0, cek",IF(I95&lt;=F95,"RUGI / impas",IF(NOT(ISNUMBER(L95)),"Baru",IF(M95=0,"OK",IF(ABS(M95)&gt;=0.3*L95,"Berubah besar","Harga berubah")))))))))))))</f>
        <v/>
      </c>
      <c r="O95" s="18" t="n"/>
      <c r="P95" s="18" t="n"/>
      <c r="Q95" s="26" t="n"/>
    </row>
    <row r="96">
      <c r="A96" s="17" t="n"/>
      <c r="B96" s="18" t="n"/>
      <c r="C96" s="19" t="n"/>
      <c r="D96" s="19" t="n"/>
      <c r="E96" s="19" t="n"/>
      <c r="F96" s="20" t="n"/>
      <c r="G96" s="21" t="n"/>
      <c r="H96" s="20" t="n"/>
      <c r="I96" s="22">
        <f>IF(ISNUMBER(H96),H96,IF(AND(ISNUMBER(F96),ISNUMBER(G96)),CEILING(ROUND(F96*(1+G96),2),1000),""))</f>
        <v/>
      </c>
      <c r="J96" s="22">
        <f>IF(AND(ISNUMBER(I96),ISNUMBER(F96)),I96-F96,"")</f>
        <v/>
      </c>
      <c r="K96" s="23">
        <f>IF(AND(ISNUMBER(I96),ISNUMBER(F96)),IF(I96=0,"",(I96-F96)/I96),"")</f>
        <v/>
      </c>
      <c r="L96" s="22" t="n"/>
      <c r="M96" s="24">
        <f>IF(AND(ISNUMBER(I96),ISNUMBER(L96)),I96-L96,"")</f>
        <v/>
      </c>
      <c r="N96" s="25">
        <f>IF(AND(C96="",E96=""),"",IF(AND(H96&lt;&gt;"",NOT(ISNUMBER(H96))),"Cek Harga Manual",IF(AND(F96="-",NOT(ISNUMBER(H96))),"Isi Harga Manual",IF(F96="-","HPP akan dihapus",IF(AND(F96&lt;&gt;"",NOT(ISNUMBER(F96))),"Cek HPP",IF(AND(ISNUMBER(G96),OR(G96&lt;0,G96&gt;20)),"Cek Markup",IF(NOT(ISNUMBER(I96)),"Harga belum ada",IF(F96="","HPP kosong",IF(F96=0,"HPP 0, cek",IF(I96&lt;=F96,"RUGI / impas",IF(NOT(ISNUMBER(L96)),"Baru",IF(M96=0,"OK",IF(ABS(M96)&gt;=0.3*L96,"Berubah besar","Harga berubah")))))))))))))</f>
        <v/>
      </c>
      <c r="O96" s="18" t="n"/>
      <c r="P96" s="18" t="n"/>
      <c r="Q96" s="26" t="n"/>
    </row>
    <row r="97">
      <c r="A97" s="17" t="n"/>
      <c r="B97" s="18" t="n"/>
      <c r="C97" s="19" t="n"/>
      <c r="D97" s="19" t="n"/>
      <c r="E97" s="19" t="n"/>
      <c r="F97" s="20" t="n"/>
      <c r="G97" s="21" t="n"/>
      <c r="H97" s="20" t="n"/>
      <c r="I97" s="22">
        <f>IF(ISNUMBER(H97),H97,IF(AND(ISNUMBER(F97),ISNUMBER(G97)),CEILING(ROUND(F97*(1+G97),2),1000),""))</f>
        <v/>
      </c>
      <c r="J97" s="22">
        <f>IF(AND(ISNUMBER(I97),ISNUMBER(F97)),I97-F97,"")</f>
        <v/>
      </c>
      <c r="K97" s="23">
        <f>IF(AND(ISNUMBER(I97),ISNUMBER(F97)),IF(I97=0,"",(I97-F97)/I97),"")</f>
        <v/>
      </c>
      <c r="L97" s="22" t="n"/>
      <c r="M97" s="24">
        <f>IF(AND(ISNUMBER(I97),ISNUMBER(L97)),I97-L97,"")</f>
        <v/>
      </c>
      <c r="N97" s="25">
        <f>IF(AND(C97="",E97=""),"",IF(AND(H97&lt;&gt;"",NOT(ISNUMBER(H97))),"Cek Harga Manual",IF(AND(F97="-",NOT(ISNUMBER(H97))),"Isi Harga Manual",IF(F97="-","HPP akan dihapus",IF(AND(F97&lt;&gt;"",NOT(ISNUMBER(F97))),"Cek HPP",IF(AND(ISNUMBER(G97),OR(G97&lt;0,G97&gt;20)),"Cek Markup",IF(NOT(ISNUMBER(I97)),"Harga belum ada",IF(F97="","HPP kosong",IF(F97=0,"HPP 0, cek",IF(I97&lt;=F97,"RUGI / impas",IF(NOT(ISNUMBER(L97)),"Baru",IF(M97=0,"OK",IF(ABS(M97)&gt;=0.3*L97,"Berubah besar","Harga berubah")))))))))))))</f>
        <v/>
      </c>
      <c r="O97" s="18" t="n"/>
      <c r="P97" s="18" t="n"/>
      <c r="Q97" s="26" t="n"/>
    </row>
    <row r="98">
      <c r="A98" s="17" t="n"/>
      <c r="B98" s="18" t="n"/>
      <c r="C98" s="19" t="n"/>
      <c r="D98" s="19" t="n"/>
      <c r="E98" s="19" t="n"/>
      <c r="F98" s="20" t="n"/>
      <c r="G98" s="21" t="n"/>
      <c r="H98" s="20" t="n"/>
      <c r="I98" s="22">
        <f>IF(ISNUMBER(H98),H98,IF(AND(ISNUMBER(F98),ISNUMBER(G98)),CEILING(ROUND(F98*(1+G98),2),1000),""))</f>
        <v/>
      </c>
      <c r="J98" s="22">
        <f>IF(AND(ISNUMBER(I98),ISNUMBER(F98)),I98-F98,"")</f>
        <v/>
      </c>
      <c r="K98" s="23">
        <f>IF(AND(ISNUMBER(I98),ISNUMBER(F98)),IF(I98=0,"",(I98-F98)/I98),"")</f>
        <v/>
      </c>
      <c r="L98" s="22" t="n"/>
      <c r="M98" s="24">
        <f>IF(AND(ISNUMBER(I98),ISNUMBER(L98)),I98-L98,"")</f>
        <v/>
      </c>
      <c r="N98" s="25">
        <f>IF(AND(C98="",E98=""),"",IF(AND(H98&lt;&gt;"",NOT(ISNUMBER(H98))),"Cek Harga Manual",IF(AND(F98="-",NOT(ISNUMBER(H98))),"Isi Harga Manual",IF(F98="-","HPP akan dihapus",IF(AND(F98&lt;&gt;"",NOT(ISNUMBER(F98))),"Cek HPP",IF(AND(ISNUMBER(G98),OR(G98&lt;0,G98&gt;20)),"Cek Markup",IF(NOT(ISNUMBER(I98)),"Harga belum ada",IF(F98="","HPP kosong",IF(F98=0,"HPP 0, cek",IF(I98&lt;=F98,"RUGI / impas",IF(NOT(ISNUMBER(L98)),"Baru",IF(M98=0,"OK",IF(ABS(M98)&gt;=0.3*L98,"Berubah besar","Harga berubah")))))))))))))</f>
        <v/>
      </c>
      <c r="O98" s="18" t="n"/>
      <c r="P98" s="18" t="n"/>
      <c r="Q98" s="26" t="n"/>
    </row>
    <row r="99">
      <c r="A99" s="17" t="n"/>
      <c r="B99" s="18" t="n"/>
      <c r="C99" s="19" t="n"/>
      <c r="D99" s="19" t="n"/>
      <c r="E99" s="19" t="n"/>
      <c r="F99" s="20" t="n"/>
      <c r="G99" s="21" t="n"/>
      <c r="H99" s="20" t="n"/>
      <c r="I99" s="22">
        <f>IF(ISNUMBER(H99),H99,IF(AND(ISNUMBER(F99),ISNUMBER(G99)),CEILING(ROUND(F99*(1+G99),2),1000),""))</f>
        <v/>
      </c>
      <c r="J99" s="22">
        <f>IF(AND(ISNUMBER(I99),ISNUMBER(F99)),I99-F99,"")</f>
        <v/>
      </c>
      <c r="K99" s="23">
        <f>IF(AND(ISNUMBER(I99),ISNUMBER(F99)),IF(I99=0,"",(I99-F99)/I99),"")</f>
        <v/>
      </c>
      <c r="L99" s="22" t="n"/>
      <c r="M99" s="24">
        <f>IF(AND(ISNUMBER(I99),ISNUMBER(L99)),I99-L99,"")</f>
        <v/>
      </c>
      <c r="N99" s="25">
        <f>IF(AND(C99="",E99=""),"",IF(AND(H99&lt;&gt;"",NOT(ISNUMBER(H99))),"Cek Harga Manual",IF(AND(F99="-",NOT(ISNUMBER(H99))),"Isi Harga Manual",IF(F99="-","HPP akan dihapus",IF(AND(F99&lt;&gt;"",NOT(ISNUMBER(F99))),"Cek HPP",IF(AND(ISNUMBER(G99),OR(G99&lt;0,G99&gt;20)),"Cek Markup",IF(NOT(ISNUMBER(I99)),"Harga belum ada",IF(F99="","HPP kosong",IF(F99=0,"HPP 0, cek",IF(I99&lt;=F99,"RUGI / impas",IF(NOT(ISNUMBER(L99)),"Baru",IF(M99=0,"OK",IF(ABS(M99)&gt;=0.3*L99,"Berubah besar","Harga berubah")))))))))))))</f>
        <v/>
      </c>
      <c r="O99" s="18" t="n"/>
      <c r="P99" s="18" t="n"/>
      <c r="Q99" s="26" t="n"/>
    </row>
    <row r="100">
      <c r="A100" s="17" t="n"/>
      <c r="B100" s="18" t="n"/>
      <c r="C100" s="19" t="n"/>
      <c r="D100" s="19" t="n"/>
      <c r="E100" s="19" t="n"/>
      <c r="F100" s="20" t="n"/>
      <c r="G100" s="21" t="n"/>
      <c r="H100" s="20" t="n"/>
      <c r="I100" s="22">
        <f>IF(ISNUMBER(H100),H100,IF(AND(ISNUMBER(F100),ISNUMBER(G100)),CEILING(ROUND(F100*(1+G100),2),1000),""))</f>
        <v/>
      </c>
      <c r="J100" s="22">
        <f>IF(AND(ISNUMBER(I100),ISNUMBER(F100)),I100-F100,"")</f>
        <v/>
      </c>
      <c r="K100" s="23">
        <f>IF(AND(ISNUMBER(I100),ISNUMBER(F100)),IF(I100=0,"",(I100-F100)/I100),"")</f>
        <v/>
      </c>
      <c r="L100" s="22" t="n"/>
      <c r="M100" s="24">
        <f>IF(AND(ISNUMBER(I100),ISNUMBER(L100)),I100-L100,"")</f>
        <v/>
      </c>
      <c r="N100" s="25">
        <f>IF(AND(C100="",E100=""),"",IF(AND(H100&lt;&gt;"",NOT(ISNUMBER(H100))),"Cek Harga Manual",IF(AND(F100="-",NOT(ISNUMBER(H100))),"Isi Harga Manual",IF(F100="-","HPP akan dihapus",IF(AND(F100&lt;&gt;"",NOT(ISNUMBER(F100))),"Cek HPP",IF(AND(ISNUMBER(G100),OR(G100&lt;0,G100&gt;20)),"Cek Markup",IF(NOT(ISNUMBER(I100)),"Harga belum ada",IF(F100="","HPP kosong",IF(F100=0,"HPP 0, cek",IF(I100&lt;=F100,"RUGI / impas",IF(NOT(ISNUMBER(L100)),"Baru",IF(M100=0,"OK",IF(ABS(M100)&gt;=0.3*L100,"Berubah besar","Harga berubah")))))))))))))</f>
        <v/>
      </c>
      <c r="O100" s="18" t="n"/>
      <c r="P100" s="18" t="n"/>
      <c r="Q100" s="26" t="n"/>
    </row>
    <row r="101">
      <c r="A101" s="17" t="n"/>
      <c r="B101" s="18" t="n"/>
      <c r="C101" s="19" t="n"/>
      <c r="D101" s="19" t="n"/>
      <c r="E101" s="19" t="n"/>
      <c r="F101" s="20" t="n"/>
      <c r="G101" s="21" t="n"/>
      <c r="H101" s="20" t="n"/>
      <c r="I101" s="22">
        <f>IF(ISNUMBER(H101),H101,IF(AND(ISNUMBER(F101),ISNUMBER(G101)),CEILING(ROUND(F101*(1+G101),2),1000),""))</f>
        <v/>
      </c>
      <c r="J101" s="22">
        <f>IF(AND(ISNUMBER(I101),ISNUMBER(F101)),I101-F101,"")</f>
        <v/>
      </c>
      <c r="K101" s="23">
        <f>IF(AND(ISNUMBER(I101),ISNUMBER(F101)),IF(I101=0,"",(I101-F101)/I101),"")</f>
        <v/>
      </c>
      <c r="L101" s="22" t="n"/>
      <c r="M101" s="24">
        <f>IF(AND(ISNUMBER(I101),ISNUMBER(L101)),I101-L101,"")</f>
        <v/>
      </c>
      <c r="N101" s="25">
        <f>IF(AND(C101="",E101=""),"",IF(AND(H101&lt;&gt;"",NOT(ISNUMBER(H101))),"Cek Harga Manual",IF(AND(F101="-",NOT(ISNUMBER(H101))),"Isi Harga Manual",IF(F101="-","HPP akan dihapus",IF(AND(F101&lt;&gt;"",NOT(ISNUMBER(F101))),"Cek HPP",IF(AND(ISNUMBER(G101),OR(G101&lt;0,G101&gt;20)),"Cek Markup",IF(NOT(ISNUMBER(I101)),"Harga belum ada",IF(F101="","HPP kosong",IF(F101=0,"HPP 0, cek",IF(I101&lt;=F101,"RUGI / impas",IF(NOT(ISNUMBER(L101)),"Baru",IF(M101=0,"OK",IF(ABS(M101)&gt;=0.3*L101,"Berubah besar","Harga berubah")))))))))))))</f>
        <v/>
      </c>
      <c r="O101" s="18" t="n"/>
      <c r="P101" s="18" t="n"/>
      <c r="Q101" s="26" t="n"/>
    </row>
    <row r="102">
      <c r="A102" s="17" t="n"/>
      <c r="B102" s="18" t="n"/>
      <c r="C102" s="19" t="n"/>
      <c r="D102" s="19" t="n"/>
      <c r="E102" s="19" t="n"/>
      <c r="F102" s="20" t="n"/>
      <c r="G102" s="21" t="n"/>
      <c r="H102" s="20" t="n"/>
      <c r="I102" s="22">
        <f>IF(ISNUMBER(H102),H102,IF(AND(ISNUMBER(F102),ISNUMBER(G102)),CEILING(ROUND(F102*(1+G102),2),1000),""))</f>
        <v/>
      </c>
      <c r="J102" s="22">
        <f>IF(AND(ISNUMBER(I102),ISNUMBER(F102)),I102-F102,"")</f>
        <v/>
      </c>
      <c r="K102" s="23">
        <f>IF(AND(ISNUMBER(I102),ISNUMBER(F102)),IF(I102=0,"",(I102-F102)/I102),"")</f>
        <v/>
      </c>
      <c r="L102" s="22" t="n"/>
      <c r="M102" s="24">
        <f>IF(AND(ISNUMBER(I102),ISNUMBER(L102)),I102-L102,"")</f>
        <v/>
      </c>
      <c r="N102" s="25">
        <f>IF(AND(C102="",E102=""),"",IF(AND(H102&lt;&gt;"",NOT(ISNUMBER(H102))),"Cek Harga Manual",IF(AND(F102="-",NOT(ISNUMBER(H102))),"Isi Harga Manual",IF(F102="-","HPP akan dihapus",IF(AND(F102&lt;&gt;"",NOT(ISNUMBER(F102))),"Cek HPP",IF(AND(ISNUMBER(G102),OR(G102&lt;0,G102&gt;20)),"Cek Markup",IF(NOT(ISNUMBER(I102)),"Harga belum ada",IF(F102="","HPP kosong",IF(F102=0,"HPP 0, cek",IF(I102&lt;=F102,"RUGI / impas",IF(NOT(ISNUMBER(L102)),"Baru",IF(M102=0,"OK",IF(ABS(M102)&gt;=0.3*L102,"Berubah besar","Harga berubah")))))))))))))</f>
        <v/>
      </c>
      <c r="O102" s="18" t="n"/>
      <c r="P102" s="18" t="n"/>
      <c r="Q102" s="26" t="n"/>
    </row>
    <row r="103">
      <c r="A103" s="17" t="n"/>
      <c r="B103" s="18" t="n"/>
      <c r="C103" s="19" t="n"/>
      <c r="D103" s="19" t="n"/>
      <c r="E103" s="19" t="n"/>
      <c r="F103" s="20" t="n"/>
      <c r="G103" s="21" t="n"/>
      <c r="H103" s="20" t="n"/>
      <c r="I103" s="22">
        <f>IF(ISNUMBER(H103),H103,IF(AND(ISNUMBER(F103),ISNUMBER(G103)),CEILING(ROUND(F103*(1+G103),2),1000),""))</f>
        <v/>
      </c>
      <c r="J103" s="22">
        <f>IF(AND(ISNUMBER(I103),ISNUMBER(F103)),I103-F103,"")</f>
        <v/>
      </c>
      <c r="K103" s="23">
        <f>IF(AND(ISNUMBER(I103),ISNUMBER(F103)),IF(I103=0,"",(I103-F103)/I103),"")</f>
        <v/>
      </c>
      <c r="L103" s="22" t="n"/>
      <c r="M103" s="24">
        <f>IF(AND(ISNUMBER(I103),ISNUMBER(L103)),I103-L103,"")</f>
        <v/>
      </c>
      <c r="N103" s="25">
        <f>IF(AND(C103="",E103=""),"",IF(AND(H103&lt;&gt;"",NOT(ISNUMBER(H103))),"Cek Harga Manual",IF(AND(F103="-",NOT(ISNUMBER(H103))),"Isi Harga Manual",IF(F103="-","HPP akan dihapus",IF(AND(F103&lt;&gt;"",NOT(ISNUMBER(F103))),"Cek HPP",IF(AND(ISNUMBER(G103),OR(G103&lt;0,G103&gt;20)),"Cek Markup",IF(NOT(ISNUMBER(I103)),"Harga belum ada",IF(F103="","HPP kosong",IF(F103=0,"HPP 0, cek",IF(I103&lt;=F103,"RUGI / impas",IF(NOT(ISNUMBER(L103)),"Baru",IF(M103=0,"OK",IF(ABS(M103)&gt;=0.3*L103,"Berubah besar","Harga berubah")))))))))))))</f>
        <v/>
      </c>
      <c r="O103" s="18" t="n"/>
      <c r="P103" s="18" t="n"/>
      <c r="Q103" s="26" t="n"/>
    </row>
    <row r="104">
      <c r="A104" s="17" t="n"/>
      <c r="B104" s="18" t="n"/>
      <c r="C104" s="19" t="n"/>
      <c r="D104" s="19" t="n"/>
      <c r="E104" s="19" t="n"/>
      <c r="F104" s="20" t="n"/>
      <c r="G104" s="21" t="n"/>
      <c r="H104" s="20" t="n"/>
      <c r="I104" s="22">
        <f>IF(ISNUMBER(H104),H104,IF(AND(ISNUMBER(F104),ISNUMBER(G104)),CEILING(ROUND(F104*(1+G104),2),1000),""))</f>
        <v/>
      </c>
      <c r="J104" s="22">
        <f>IF(AND(ISNUMBER(I104),ISNUMBER(F104)),I104-F104,"")</f>
        <v/>
      </c>
      <c r="K104" s="23">
        <f>IF(AND(ISNUMBER(I104),ISNUMBER(F104)),IF(I104=0,"",(I104-F104)/I104),"")</f>
        <v/>
      </c>
      <c r="L104" s="22" t="n"/>
      <c r="M104" s="24">
        <f>IF(AND(ISNUMBER(I104),ISNUMBER(L104)),I104-L104,"")</f>
        <v/>
      </c>
      <c r="N104" s="25">
        <f>IF(AND(C104="",E104=""),"",IF(AND(H104&lt;&gt;"",NOT(ISNUMBER(H104))),"Cek Harga Manual",IF(AND(F104="-",NOT(ISNUMBER(H104))),"Isi Harga Manual",IF(F104="-","HPP akan dihapus",IF(AND(F104&lt;&gt;"",NOT(ISNUMBER(F104))),"Cek HPP",IF(AND(ISNUMBER(G104),OR(G104&lt;0,G104&gt;20)),"Cek Markup",IF(NOT(ISNUMBER(I104)),"Harga belum ada",IF(F104="","HPP kosong",IF(F104=0,"HPP 0, cek",IF(I104&lt;=F104,"RUGI / impas",IF(NOT(ISNUMBER(L104)),"Baru",IF(M104=0,"OK",IF(ABS(M104)&gt;=0.3*L104,"Berubah besar","Harga berubah")))))))))))))</f>
        <v/>
      </c>
      <c r="O104" s="18" t="n"/>
      <c r="P104" s="18" t="n"/>
      <c r="Q104" s="26" t="n"/>
    </row>
    <row r="105">
      <c r="A105" s="17" t="n"/>
      <c r="B105" s="18" t="n"/>
      <c r="C105" s="19" t="n"/>
      <c r="D105" s="19" t="n"/>
      <c r="E105" s="19" t="n"/>
      <c r="F105" s="20" t="n"/>
      <c r="G105" s="21" t="n"/>
      <c r="H105" s="20" t="n"/>
      <c r="I105" s="22">
        <f>IF(ISNUMBER(H105),H105,IF(AND(ISNUMBER(F105),ISNUMBER(G105)),CEILING(ROUND(F105*(1+G105),2),1000),""))</f>
        <v/>
      </c>
      <c r="J105" s="22">
        <f>IF(AND(ISNUMBER(I105),ISNUMBER(F105)),I105-F105,"")</f>
        <v/>
      </c>
      <c r="K105" s="23">
        <f>IF(AND(ISNUMBER(I105),ISNUMBER(F105)),IF(I105=0,"",(I105-F105)/I105),"")</f>
        <v/>
      </c>
      <c r="L105" s="22" t="n"/>
      <c r="M105" s="24">
        <f>IF(AND(ISNUMBER(I105),ISNUMBER(L105)),I105-L105,"")</f>
        <v/>
      </c>
      <c r="N105" s="25">
        <f>IF(AND(C105="",E105=""),"",IF(AND(H105&lt;&gt;"",NOT(ISNUMBER(H105))),"Cek Harga Manual",IF(AND(F105="-",NOT(ISNUMBER(H105))),"Isi Harga Manual",IF(F105="-","HPP akan dihapus",IF(AND(F105&lt;&gt;"",NOT(ISNUMBER(F105))),"Cek HPP",IF(AND(ISNUMBER(G105),OR(G105&lt;0,G105&gt;20)),"Cek Markup",IF(NOT(ISNUMBER(I105)),"Harga belum ada",IF(F105="","HPP kosong",IF(F105=0,"HPP 0, cek",IF(I105&lt;=F105,"RUGI / impas",IF(NOT(ISNUMBER(L105)),"Baru",IF(M105=0,"OK",IF(ABS(M105)&gt;=0.3*L105,"Berubah besar","Harga berubah")))))))))))))</f>
        <v/>
      </c>
      <c r="O105" s="18" t="n"/>
      <c r="P105" s="18" t="n"/>
      <c r="Q105" s="26" t="n"/>
    </row>
    <row r="106">
      <c r="A106" s="17" t="n"/>
      <c r="B106" s="18" t="n"/>
      <c r="C106" s="19" t="n"/>
      <c r="D106" s="19" t="n"/>
      <c r="E106" s="19" t="n"/>
      <c r="F106" s="20" t="n"/>
      <c r="G106" s="21" t="n"/>
      <c r="H106" s="20" t="n"/>
      <c r="I106" s="22">
        <f>IF(ISNUMBER(H106),H106,IF(AND(ISNUMBER(F106),ISNUMBER(G106)),CEILING(ROUND(F106*(1+G106),2),1000),""))</f>
        <v/>
      </c>
      <c r="J106" s="22">
        <f>IF(AND(ISNUMBER(I106),ISNUMBER(F106)),I106-F106,"")</f>
        <v/>
      </c>
      <c r="K106" s="23">
        <f>IF(AND(ISNUMBER(I106),ISNUMBER(F106)),IF(I106=0,"",(I106-F106)/I106),"")</f>
        <v/>
      </c>
      <c r="L106" s="22" t="n"/>
      <c r="M106" s="24">
        <f>IF(AND(ISNUMBER(I106),ISNUMBER(L106)),I106-L106,"")</f>
        <v/>
      </c>
      <c r="N106" s="25">
        <f>IF(AND(C106="",E106=""),"",IF(AND(H106&lt;&gt;"",NOT(ISNUMBER(H106))),"Cek Harga Manual",IF(AND(F106="-",NOT(ISNUMBER(H106))),"Isi Harga Manual",IF(F106="-","HPP akan dihapus",IF(AND(F106&lt;&gt;"",NOT(ISNUMBER(F106))),"Cek HPP",IF(AND(ISNUMBER(G106),OR(G106&lt;0,G106&gt;20)),"Cek Markup",IF(NOT(ISNUMBER(I106)),"Harga belum ada",IF(F106="","HPP kosong",IF(F106=0,"HPP 0, cek",IF(I106&lt;=F106,"RUGI / impas",IF(NOT(ISNUMBER(L106)),"Baru",IF(M106=0,"OK",IF(ABS(M106)&gt;=0.3*L106,"Berubah besar","Harga berubah")))))))))))))</f>
        <v/>
      </c>
      <c r="O106" s="18" t="n"/>
      <c r="P106" s="18" t="n"/>
      <c r="Q106" s="26" t="n"/>
    </row>
    <row r="107">
      <c r="A107" s="17" t="n"/>
      <c r="B107" s="18" t="n"/>
      <c r="C107" s="19" t="n"/>
      <c r="D107" s="19" t="n"/>
      <c r="E107" s="19" t="n"/>
      <c r="F107" s="20" t="n"/>
      <c r="G107" s="21" t="n"/>
      <c r="H107" s="20" t="n"/>
      <c r="I107" s="22">
        <f>IF(ISNUMBER(H107),H107,IF(AND(ISNUMBER(F107),ISNUMBER(G107)),CEILING(ROUND(F107*(1+G107),2),1000),""))</f>
        <v/>
      </c>
      <c r="J107" s="22">
        <f>IF(AND(ISNUMBER(I107),ISNUMBER(F107)),I107-F107,"")</f>
        <v/>
      </c>
      <c r="K107" s="23">
        <f>IF(AND(ISNUMBER(I107),ISNUMBER(F107)),IF(I107=0,"",(I107-F107)/I107),"")</f>
        <v/>
      </c>
      <c r="L107" s="22" t="n"/>
      <c r="M107" s="24">
        <f>IF(AND(ISNUMBER(I107),ISNUMBER(L107)),I107-L107,"")</f>
        <v/>
      </c>
      <c r="N107" s="25">
        <f>IF(AND(C107="",E107=""),"",IF(AND(H107&lt;&gt;"",NOT(ISNUMBER(H107))),"Cek Harga Manual",IF(AND(F107="-",NOT(ISNUMBER(H107))),"Isi Harga Manual",IF(F107="-","HPP akan dihapus",IF(AND(F107&lt;&gt;"",NOT(ISNUMBER(F107))),"Cek HPP",IF(AND(ISNUMBER(G107),OR(G107&lt;0,G107&gt;20)),"Cek Markup",IF(NOT(ISNUMBER(I107)),"Harga belum ada",IF(F107="","HPP kosong",IF(F107=0,"HPP 0, cek",IF(I107&lt;=F107,"RUGI / impas",IF(NOT(ISNUMBER(L107)),"Baru",IF(M107=0,"OK",IF(ABS(M107)&gt;=0.3*L107,"Berubah besar","Harga berubah")))))))))))))</f>
        <v/>
      </c>
      <c r="O107" s="18" t="n"/>
      <c r="P107" s="18" t="n"/>
      <c r="Q107" s="26" t="n"/>
    </row>
    <row r="108">
      <c r="A108" s="17" t="n"/>
      <c r="B108" s="18" t="n"/>
      <c r="C108" s="19" t="n"/>
      <c r="D108" s="19" t="n"/>
      <c r="E108" s="19" t="n"/>
      <c r="F108" s="20" t="n"/>
      <c r="G108" s="21" t="n"/>
      <c r="H108" s="20" t="n"/>
      <c r="I108" s="22">
        <f>IF(ISNUMBER(H108),H108,IF(AND(ISNUMBER(F108),ISNUMBER(G108)),CEILING(ROUND(F108*(1+G108),2),1000),""))</f>
        <v/>
      </c>
      <c r="J108" s="22">
        <f>IF(AND(ISNUMBER(I108),ISNUMBER(F108)),I108-F108,"")</f>
        <v/>
      </c>
      <c r="K108" s="23">
        <f>IF(AND(ISNUMBER(I108),ISNUMBER(F108)),IF(I108=0,"",(I108-F108)/I108),"")</f>
        <v/>
      </c>
      <c r="L108" s="22" t="n"/>
      <c r="M108" s="24">
        <f>IF(AND(ISNUMBER(I108),ISNUMBER(L108)),I108-L108,"")</f>
        <v/>
      </c>
      <c r="N108" s="25">
        <f>IF(AND(C108="",E108=""),"",IF(AND(H108&lt;&gt;"",NOT(ISNUMBER(H108))),"Cek Harga Manual",IF(AND(F108="-",NOT(ISNUMBER(H108))),"Isi Harga Manual",IF(F108="-","HPP akan dihapus",IF(AND(F108&lt;&gt;"",NOT(ISNUMBER(F108))),"Cek HPP",IF(AND(ISNUMBER(G108),OR(G108&lt;0,G108&gt;20)),"Cek Markup",IF(NOT(ISNUMBER(I108)),"Harga belum ada",IF(F108="","HPP kosong",IF(F108=0,"HPP 0, cek",IF(I108&lt;=F108,"RUGI / impas",IF(NOT(ISNUMBER(L108)),"Baru",IF(M108=0,"OK",IF(ABS(M108)&gt;=0.3*L108,"Berubah besar","Harga berubah")))))))))))))</f>
        <v/>
      </c>
      <c r="O108" s="18" t="n"/>
      <c r="P108" s="18" t="n"/>
      <c r="Q108" s="26" t="n"/>
    </row>
    <row r="109">
      <c r="A109" s="17" t="n"/>
      <c r="B109" s="18" t="n"/>
      <c r="C109" s="19" t="n"/>
      <c r="D109" s="19" t="n"/>
      <c r="E109" s="19" t="n"/>
      <c r="F109" s="20" t="n"/>
      <c r="G109" s="21" t="n"/>
      <c r="H109" s="20" t="n"/>
      <c r="I109" s="22">
        <f>IF(ISNUMBER(H109),H109,IF(AND(ISNUMBER(F109),ISNUMBER(G109)),CEILING(ROUND(F109*(1+G109),2),1000),""))</f>
        <v/>
      </c>
      <c r="J109" s="22">
        <f>IF(AND(ISNUMBER(I109),ISNUMBER(F109)),I109-F109,"")</f>
        <v/>
      </c>
      <c r="K109" s="23">
        <f>IF(AND(ISNUMBER(I109),ISNUMBER(F109)),IF(I109=0,"",(I109-F109)/I109),"")</f>
        <v/>
      </c>
      <c r="L109" s="22" t="n"/>
      <c r="M109" s="24">
        <f>IF(AND(ISNUMBER(I109),ISNUMBER(L109)),I109-L109,"")</f>
        <v/>
      </c>
      <c r="N109" s="25">
        <f>IF(AND(C109="",E109=""),"",IF(AND(H109&lt;&gt;"",NOT(ISNUMBER(H109))),"Cek Harga Manual",IF(AND(F109="-",NOT(ISNUMBER(H109))),"Isi Harga Manual",IF(F109="-","HPP akan dihapus",IF(AND(F109&lt;&gt;"",NOT(ISNUMBER(F109))),"Cek HPP",IF(AND(ISNUMBER(G109),OR(G109&lt;0,G109&gt;20)),"Cek Markup",IF(NOT(ISNUMBER(I109)),"Harga belum ada",IF(F109="","HPP kosong",IF(F109=0,"HPP 0, cek",IF(I109&lt;=F109,"RUGI / impas",IF(NOT(ISNUMBER(L109)),"Baru",IF(M109=0,"OK",IF(ABS(M109)&gt;=0.3*L109,"Berubah besar","Harga berubah")))))))))))))</f>
        <v/>
      </c>
      <c r="O109" s="18" t="n"/>
      <c r="P109" s="18" t="n"/>
      <c r="Q109" s="26" t="n"/>
    </row>
    <row r="110">
      <c r="A110" s="17" t="n"/>
      <c r="B110" s="18" t="n"/>
      <c r="C110" s="19" t="n"/>
      <c r="D110" s="19" t="n"/>
      <c r="E110" s="19" t="n"/>
      <c r="F110" s="20" t="n"/>
      <c r="G110" s="21" t="n"/>
      <c r="H110" s="20" t="n"/>
      <c r="I110" s="22">
        <f>IF(ISNUMBER(H110),H110,IF(AND(ISNUMBER(F110),ISNUMBER(G110)),CEILING(ROUND(F110*(1+G110),2),1000),""))</f>
        <v/>
      </c>
      <c r="J110" s="22">
        <f>IF(AND(ISNUMBER(I110),ISNUMBER(F110)),I110-F110,"")</f>
        <v/>
      </c>
      <c r="K110" s="23">
        <f>IF(AND(ISNUMBER(I110),ISNUMBER(F110)),IF(I110=0,"",(I110-F110)/I110),"")</f>
        <v/>
      </c>
      <c r="L110" s="22" t="n"/>
      <c r="M110" s="24">
        <f>IF(AND(ISNUMBER(I110),ISNUMBER(L110)),I110-L110,"")</f>
        <v/>
      </c>
      <c r="N110" s="25">
        <f>IF(AND(C110="",E110=""),"",IF(AND(H110&lt;&gt;"",NOT(ISNUMBER(H110))),"Cek Harga Manual",IF(AND(F110="-",NOT(ISNUMBER(H110))),"Isi Harga Manual",IF(F110="-","HPP akan dihapus",IF(AND(F110&lt;&gt;"",NOT(ISNUMBER(F110))),"Cek HPP",IF(AND(ISNUMBER(G110),OR(G110&lt;0,G110&gt;20)),"Cek Markup",IF(NOT(ISNUMBER(I110)),"Harga belum ada",IF(F110="","HPP kosong",IF(F110=0,"HPP 0, cek",IF(I110&lt;=F110,"RUGI / impas",IF(NOT(ISNUMBER(L110)),"Baru",IF(M110=0,"OK",IF(ABS(M110)&gt;=0.3*L110,"Berubah besar","Harga berubah")))))))))))))</f>
        <v/>
      </c>
      <c r="O110" s="18" t="n"/>
      <c r="P110" s="18" t="n"/>
      <c r="Q110" s="26" t="n"/>
    </row>
    <row r="111">
      <c r="A111" s="17" t="n"/>
      <c r="B111" s="18" t="n"/>
      <c r="C111" s="19" t="n"/>
      <c r="D111" s="19" t="n"/>
      <c r="E111" s="19" t="n"/>
      <c r="F111" s="20" t="n"/>
      <c r="G111" s="21" t="n"/>
      <c r="H111" s="20" t="n"/>
      <c r="I111" s="22">
        <f>IF(ISNUMBER(H111),H111,IF(AND(ISNUMBER(F111),ISNUMBER(G111)),CEILING(ROUND(F111*(1+G111),2),1000),""))</f>
        <v/>
      </c>
      <c r="J111" s="22">
        <f>IF(AND(ISNUMBER(I111),ISNUMBER(F111)),I111-F111,"")</f>
        <v/>
      </c>
      <c r="K111" s="23">
        <f>IF(AND(ISNUMBER(I111),ISNUMBER(F111)),IF(I111=0,"",(I111-F111)/I111),"")</f>
        <v/>
      </c>
      <c r="L111" s="22" t="n"/>
      <c r="M111" s="24">
        <f>IF(AND(ISNUMBER(I111),ISNUMBER(L111)),I111-L111,"")</f>
        <v/>
      </c>
      <c r="N111" s="25">
        <f>IF(AND(C111="",E111=""),"",IF(AND(H111&lt;&gt;"",NOT(ISNUMBER(H111))),"Cek Harga Manual",IF(AND(F111="-",NOT(ISNUMBER(H111))),"Isi Harga Manual",IF(F111="-","HPP akan dihapus",IF(AND(F111&lt;&gt;"",NOT(ISNUMBER(F111))),"Cek HPP",IF(AND(ISNUMBER(G111),OR(G111&lt;0,G111&gt;20)),"Cek Markup",IF(NOT(ISNUMBER(I111)),"Harga belum ada",IF(F111="","HPP kosong",IF(F111=0,"HPP 0, cek",IF(I111&lt;=F111,"RUGI / impas",IF(NOT(ISNUMBER(L111)),"Baru",IF(M111=0,"OK",IF(ABS(M111)&gt;=0.3*L111,"Berubah besar","Harga berubah")))))))))))))</f>
        <v/>
      </c>
      <c r="O111" s="18" t="n"/>
      <c r="P111" s="18" t="n"/>
      <c r="Q111" s="26" t="n"/>
    </row>
    <row r="112">
      <c r="A112" s="17" t="n"/>
      <c r="B112" s="18" t="n"/>
      <c r="C112" s="19" t="n"/>
      <c r="D112" s="19" t="n"/>
      <c r="E112" s="19" t="n"/>
      <c r="F112" s="20" t="n"/>
      <c r="G112" s="21" t="n"/>
      <c r="H112" s="20" t="n"/>
      <c r="I112" s="22">
        <f>IF(ISNUMBER(H112),H112,IF(AND(ISNUMBER(F112),ISNUMBER(G112)),CEILING(ROUND(F112*(1+G112),2),1000),""))</f>
        <v/>
      </c>
      <c r="J112" s="22">
        <f>IF(AND(ISNUMBER(I112),ISNUMBER(F112)),I112-F112,"")</f>
        <v/>
      </c>
      <c r="K112" s="23">
        <f>IF(AND(ISNUMBER(I112),ISNUMBER(F112)),IF(I112=0,"",(I112-F112)/I112),"")</f>
        <v/>
      </c>
      <c r="L112" s="22" t="n"/>
      <c r="M112" s="24">
        <f>IF(AND(ISNUMBER(I112),ISNUMBER(L112)),I112-L112,"")</f>
        <v/>
      </c>
      <c r="N112" s="25">
        <f>IF(AND(C112="",E112=""),"",IF(AND(H112&lt;&gt;"",NOT(ISNUMBER(H112))),"Cek Harga Manual",IF(AND(F112="-",NOT(ISNUMBER(H112))),"Isi Harga Manual",IF(F112="-","HPP akan dihapus",IF(AND(F112&lt;&gt;"",NOT(ISNUMBER(F112))),"Cek HPP",IF(AND(ISNUMBER(G112),OR(G112&lt;0,G112&gt;20)),"Cek Markup",IF(NOT(ISNUMBER(I112)),"Harga belum ada",IF(F112="","HPP kosong",IF(F112=0,"HPP 0, cek",IF(I112&lt;=F112,"RUGI / impas",IF(NOT(ISNUMBER(L112)),"Baru",IF(M112=0,"OK",IF(ABS(M112)&gt;=0.3*L112,"Berubah besar","Harga berubah")))))))))))))</f>
        <v/>
      </c>
      <c r="O112" s="18" t="n"/>
      <c r="P112" s="18" t="n"/>
      <c r="Q112" s="26" t="n"/>
    </row>
    <row r="113">
      <c r="A113" s="17" t="n"/>
      <c r="B113" s="18" t="n"/>
      <c r="C113" s="19" t="n"/>
      <c r="D113" s="19" t="n"/>
      <c r="E113" s="19" t="n"/>
      <c r="F113" s="20" t="n"/>
      <c r="G113" s="21" t="n"/>
      <c r="H113" s="20" t="n"/>
      <c r="I113" s="22">
        <f>IF(ISNUMBER(H113),H113,IF(AND(ISNUMBER(F113),ISNUMBER(G113)),CEILING(ROUND(F113*(1+G113),2),1000),""))</f>
        <v/>
      </c>
      <c r="J113" s="22">
        <f>IF(AND(ISNUMBER(I113),ISNUMBER(F113)),I113-F113,"")</f>
        <v/>
      </c>
      <c r="K113" s="23">
        <f>IF(AND(ISNUMBER(I113),ISNUMBER(F113)),IF(I113=0,"",(I113-F113)/I113),"")</f>
        <v/>
      </c>
      <c r="L113" s="22" t="n"/>
      <c r="M113" s="24">
        <f>IF(AND(ISNUMBER(I113),ISNUMBER(L113)),I113-L113,"")</f>
        <v/>
      </c>
      <c r="N113" s="25">
        <f>IF(AND(C113="",E113=""),"",IF(AND(H113&lt;&gt;"",NOT(ISNUMBER(H113))),"Cek Harga Manual",IF(AND(F113="-",NOT(ISNUMBER(H113))),"Isi Harga Manual",IF(F113="-","HPP akan dihapus",IF(AND(F113&lt;&gt;"",NOT(ISNUMBER(F113))),"Cek HPP",IF(AND(ISNUMBER(G113),OR(G113&lt;0,G113&gt;20)),"Cek Markup",IF(NOT(ISNUMBER(I113)),"Harga belum ada",IF(F113="","HPP kosong",IF(F113=0,"HPP 0, cek",IF(I113&lt;=F113,"RUGI / impas",IF(NOT(ISNUMBER(L113)),"Baru",IF(M113=0,"OK",IF(ABS(M113)&gt;=0.3*L113,"Berubah besar","Harga berubah")))))))))))))</f>
        <v/>
      </c>
      <c r="O113" s="18" t="n"/>
      <c r="P113" s="18" t="n"/>
      <c r="Q113" s="26" t="n"/>
    </row>
    <row r="114">
      <c r="A114" s="17" t="n"/>
      <c r="B114" s="18" t="n"/>
      <c r="C114" s="19" t="n"/>
      <c r="D114" s="19" t="n"/>
      <c r="E114" s="19" t="n"/>
      <c r="F114" s="20" t="n"/>
      <c r="G114" s="21" t="n"/>
      <c r="H114" s="20" t="n"/>
      <c r="I114" s="22">
        <f>IF(ISNUMBER(H114),H114,IF(AND(ISNUMBER(F114),ISNUMBER(G114)),CEILING(ROUND(F114*(1+G114),2),1000),""))</f>
        <v/>
      </c>
      <c r="J114" s="22">
        <f>IF(AND(ISNUMBER(I114),ISNUMBER(F114)),I114-F114,"")</f>
        <v/>
      </c>
      <c r="K114" s="23">
        <f>IF(AND(ISNUMBER(I114),ISNUMBER(F114)),IF(I114=0,"",(I114-F114)/I114),"")</f>
        <v/>
      </c>
      <c r="L114" s="22" t="n"/>
      <c r="M114" s="24">
        <f>IF(AND(ISNUMBER(I114),ISNUMBER(L114)),I114-L114,"")</f>
        <v/>
      </c>
      <c r="N114" s="25">
        <f>IF(AND(C114="",E114=""),"",IF(AND(H114&lt;&gt;"",NOT(ISNUMBER(H114))),"Cek Harga Manual",IF(AND(F114="-",NOT(ISNUMBER(H114))),"Isi Harga Manual",IF(F114="-","HPP akan dihapus",IF(AND(F114&lt;&gt;"",NOT(ISNUMBER(F114))),"Cek HPP",IF(AND(ISNUMBER(G114),OR(G114&lt;0,G114&gt;20)),"Cek Markup",IF(NOT(ISNUMBER(I114)),"Harga belum ada",IF(F114="","HPP kosong",IF(F114=0,"HPP 0, cek",IF(I114&lt;=F114,"RUGI / impas",IF(NOT(ISNUMBER(L114)),"Baru",IF(M114=0,"OK",IF(ABS(M114)&gt;=0.3*L114,"Berubah besar","Harga berubah")))))))))))))</f>
        <v/>
      </c>
      <c r="O114" s="18" t="n"/>
      <c r="P114" s="18" t="n"/>
      <c r="Q114" s="26" t="n"/>
    </row>
    <row r="115">
      <c r="A115" s="17" t="n"/>
      <c r="B115" s="18" t="n"/>
      <c r="C115" s="19" t="n"/>
      <c r="D115" s="19" t="n"/>
      <c r="E115" s="19" t="n"/>
      <c r="F115" s="20" t="n"/>
      <c r="G115" s="21" t="n"/>
      <c r="H115" s="20" t="n"/>
      <c r="I115" s="22">
        <f>IF(ISNUMBER(H115),H115,IF(AND(ISNUMBER(F115),ISNUMBER(G115)),CEILING(ROUND(F115*(1+G115),2),1000),""))</f>
        <v/>
      </c>
      <c r="J115" s="22">
        <f>IF(AND(ISNUMBER(I115),ISNUMBER(F115)),I115-F115,"")</f>
        <v/>
      </c>
      <c r="K115" s="23">
        <f>IF(AND(ISNUMBER(I115),ISNUMBER(F115)),IF(I115=0,"",(I115-F115)/I115),"")</f>
        <v/>
      </c>
      <c r="L115" s="22" t="n"/>
      <c r="M115" s="24">
        <f>IF(AND(ISNUMBER(I115),ISNUMBER(L115)),I115-L115,"")</f>
        <v/>
      </c>
      <c r="N115" s="25">
        <f>IF(AND(C115="",E115=""),"",IF(AND(H115&lt;&gt;"",NOT(ISNUMBER(H115))),"Cek Harga Manual",IF(AND(F115="-",NOT(ISNUMBER(H115))),"Isi Harga Manual",IF(F115="-","HPP akan dihapus",IF(AND(F115&lt;&gt;"",NOT(ISNUMBER(F115))),"Cek HPP",IF(AND(ISNUMBER(G115),OR(G115&lt;0,G115&gt;20)),"Cek Markup",IF(NOT(ISNUMBER(I115)),"Harga belum ada",IF(F115="","HPP kosong",IF(F115=0,"HPP 0, cek",IF(I115&lt;=F115,"RUGI / impas",IF(NOT(ISNUMBER(L115)),"Baru",IF(M115=0,"OK",IF(ABS(M115)&gt;=0.3*L115,"Berubah besar","Harga berubah")))))))))))))</f>
        <v/>
      </c>
      <c r="O115" s="18" t="n"/>
      <c r="P115" s="18" t="n"/>
      <c r="Q115" s="26" t="n"/>
    </row>
    <row r="116">
      <c r="A116" s="17" t="n"/>
      <c r="B116" s="18" t="n"/>
      <c r="C116" s="19" t="n"/>
      <c r="D116" s="19" t="n"/>
      <c r="E116" s="19" t="n"/>
      <c r="F116" s="20" t="n"/>
      <c r="G116" s="21" t="n"/>
      <c r="H116" s="20" t="n"/>
      <c r="I116" s="22">
        <f>IF(ISNUMBER(H116),H116,IF(AND(ISNUMBER(F116),ISNUMBER(G116)),CEILING(ROUND(F116*(1+G116),2),1000),""))</f>
        <v/>
      </c>
      <c r="J116" s="22">
        <f>IF(AND(ISNUMBER(I116),ISNUMBER(F116)),I116-F116,"")</f>
        <v/>
      </c>
      <c r="K116" s="23">
        <f>IF(AND(ISNUMBER(I116),ISNUMBER(F116)),IF(I116=0,"",(I116-F116)/I116),"")</f>
        <v/>
      </c>
      <c r="L116" s="22" t="n"/>
      <c r="M116" s="24">
        <f>IF(AND(ISNUMBER(I116),ISNUMBER(L116)),I116-L116,"")</f>
        <v/>
      </c>
      <c r="N116" s="25">
        <f>IF(AND(C116="",E116=""),"",IF(AND(H116&lt;&gt;"",NOT(ISNUMBER(H116))),"Cek Harga Manual",IF(AND(F116="-",NOT(ISNUMBER(H116))),"Isi Harga Manual",IF(F116="-","HPP akan dihapus",IF(AND(F116&lt;&gt;"",NOT(ISNUMBER(F116))),"Cek HPP",IF(AND(ISNUMBER(G116),OR(G116&lt;0,G116&gt;20)),"Cek Markup",IF(NOT(ISNUMBER(I116)),"Harga belum ada",IF(F116="","HPP kosong",IF(F116=0,"HPP 0, cek",IF(I116&lt;=F116,"RUGI / impas",IF(NOT(ISNUMBER(L116)),"Baru",IF(M116=0,"OK",IF(ABS(M116)&gt;=0.3*L116,"Berubah besar","Harga berubah")))))))))))))</f>
        <v/>
      </c>
      <c r="O116" s="18" t="n"/>
      <c r="P116" s="18" t="n"/>
      <c r="Q116" s="26" t="n"/>
    </row>
    <row r="117">
      <c r="A117" s="17" t="n"/>
      <c r="B117" s="18" t="n"/>
      <c r="C117" s="19" t="n"/>
      <c r="D117" s="19" t="n"/>
      <c r="E117" s="19" t="n"/>
      <c r="F117" s="20" t="n"/>
      <c r="G117" s="21" t="n"/>
      <c r="H117" s="20" t="n"/>
      <c r="I117" s="22">
        <f>IF(ISNUMBER(H117),H117,IF(AND(ISNUMBER(F117),ISNUMBER(G117)),CEILING(ROUND(F117*(1+G117),2),1000),""))</f>
        <v/>
      </c>
      <c r="J117" s="22">
        <f>IF(AND(ISNUMBER(I117),ISNUMBER(F117)),I117-F117,"")</f>
        <v/>
      </c>
      <c r="K117" s="23">
        <f>IF(AND(ISNUMBER(I117),ISNUMBER(F117)),IF(I117=0,"",(I117-F117)/I117),"")</f>
        <v/>
      </c>
      <c r="L117" s="22" t="n"/>
      <c r="M117" s="24">
        <f>IF(AND(ISNUMBER(I117),ISNUMBER(L117)),I117-L117,"")</f>
        <v/>
      </c>
      <c r="N117" s="25">
        <f>IF(AND(C117="",E117=""),"",IF(AND(H117&lt;&gt;"",NOT(ISNUMBER(H117))),"Cek Harga Manual",IF(AND(F117="-",NOT(ISNUMBER(H117))),"Isi Harga Manual",IF(F117="-","HPP akan dihapus",IF(AND(F117&lt;&gt;"",NOT(ISNUMBER(F117))),"Cek HPP",IF(AND(ISNUMBER(G117),OR(G117&lt;0,G117&gt;20)),"Cek Markup",IF(NOT(ISNUMBER(I117)),"Harga belum ada",IF(F117="","HPP kosong",IF(F117=0,"HPP 0, cek",IF(I117&lt;=F117,"RUGI / impas",IF(NOT(ISNUMBER(L117)),"Baru",IF(M117=0,"OK",IF(ABS(M117)&gt;=0.3*L117,"Berubah besar","Harga berubah")))))))))))))</f>
        <v/>
      </c>
      <c r="O117" s="18" t="n"/>
      <c r="P117" s="18" t="n"/>
      <c r="Q117" s="26" t="n"/>
    </row>
    <row r="118">
      <c r="A118" s="17" t="n"/>
      <c r="B118" s="18" t="n"/>
      <c r="C118" s="19" t="n"/>
      <c r="D118" s="19" t="n"/>
      <c r="E118" s="19" t="n"/>
      <c r="F118" s="20" t="n"/>
      <c r="G118" s="21" t="n"/>
      <c r="H118" s="20" t="n"/>
      <c r="I118" s="22">
        <f>IF(ISNUMBER(H118),H118,IF(AND(ISNUMBER(F118),ISNUMBER(G118)),CEILING(ROUND(F118*(1+G118),2),1000),""))</f>
        <v/>
      </c>
      <c r="J118" s="22">
        <f>IF(AND(ISNUMBER(I118),ISNUMBER(F118)),I118-F118,"")</f>
        <v/>
      </c>
      <c r="K118" s="23">
        <f>IF(AND(ISNUMBER(I118),ISNUMBER(F118)),IF(I118=0,"",(I118-F118)/I118),"")</f>
        <v/>
      </c>
      <c r="L118" s="22" t="n"/>
      <c r="M118" s="24">
        <f>IF(AND(ISNUMBER(I118),ISNUMBER(L118)),I118-L118,"")</f>
        <v/>
      </c>
      <c r="N118" s="25">
        <f>IF(AND(C118="",E118=""),"",IF(AND(H118&lt;&gt;"",NOT(ISNUMBER(H118))),"Cek Harga Manual",IF(AND(F118="-",NOT(ISNUMBER(H118))),"Isi Harga Manual",IF(F118="-","HPP akan dihapus",IF(AND(F118&lt;&gt;"",NOT(ISNUMBER(F118))),"Cek HPP",IF(AND(ISNUMBER(G118),OR(G118&lt;0,G118&gt;20)),"Cek Markup",IF(NOT(ISNUMBER(I118)),"Harga belum ada",IF(F118="","HPP kosong",IF(F118=0,"HPP 0, cek",IF(I118&lt;=F118,"RUGI / impas",IF(NOT(ISNUMBER(L118)),"Baru",IF(M118=0,"OK",IF(ABS(M118)&gt;=0.3*L118,"Berubah besar","Harga berubah")))))))))))))</f>
        <v/>
      </c>
      <c r="O118" s="18" t="n"/>
      <c r="P118" s="18" t="n"/>
      <c r="Q118" s="26" t="n"/>
    </row>
    <row r="119">
      <c r="A119" s="17" t="n"/>
      <c r="B119" s="18" t="n"/>
      <c r="C119" s="19" t="n"/>
      <c r="D119" s="19" t="n"/>
      <c r="E119" s="19" t="n"/>
      <c r="F119" s="20" t="n"/>
      <c r="G119" s="21" t="n"/>
      <c r="H119" s="20" t="n"/>
      <c r="I119" s="22">
        <f>IF(ISNUMBER(H119),H119,IF(AND(ISNUMBER(F119),ISNUMBER(G119)),CEILING(ROUND(F119*(1+G119),2),1000),""))</f>
        <v/>
      </c>
      <c r="J119" s="22">
        <f>IF(AND(ISNUMBER(I119),ISNUMBER(F119)),I119-F119,"")</f>
        <v/>
      </c>
      <c r="K119" s="23">
        <f>IF(AND(ISNUMBER(I119),ISNUMBER(F119)),IF(I119=0,"",(I119-F119)/I119),"")</f>
        <v/>
      </c>
      <c r="L119" s="22" t="n"/>
      <c r="M119" s="24">
        <f>IF(AND(ISNUMBER(I119),ISNUMBER(L119)),I119-L119,"")</f>
        <v/>
      </c>
      <c r="N119" s="25">
        <f>IF(AND(C119="",E119=""),"",IF(AND(H119&lt;&gt;"",NOT(ISNUMBER(H119))),"Cek Harga Manual",IF(AND(F119="-",NOT(ISNUMBER(H119))),"Isi Harga Manual",IF(F119="-","HPP akan dihapus",IF(AND(F119&lt;&gt;"",NOT(ISNUMBER(F119))),"Cek HPP",IF(AND(ISNUMBER(G119),OR(G119&lt;0,G119&gt;20)),"Cek Markup",IF(NOT(ISNUMBER(I119)),"Harga belum ada",IF(F119="","HPP kosong",IF(F119=0,"HPP 0, cek",IF(I119&lt;=F119,"RUGI / impas",IF(NOT(ISNUMBER(L119)),"Baru",IF(M119=0,"OK",IF(ABS(M119)&gt;=0.3*L119,"Berubah besar","Harga berubah")))))))))))))</f>
        <v/>
      </c>
      <c r="O119" s="18" t="n"/>
      <c r="P119" s="18" t="n"/>
      <c r="Q119" s="26" t="n"/>
    </row>
    <row r="120">
      <c r="A120" s="17" t="n"/>
      <c r="B120" s="18" t="n"/>
      <c r="C120" s="19" t="n"/>
      <c r="D120" s="19" t="n"/>
      <c r="E120" s="19" t="n"/>
      <c r="F120" s="20" t="n"/>
      <c r="G120" s="21" t="n"/>
      <c r="H120" s="20" t="n"/>
      <c r="I120" s="22">
        <f>IF(ISNUMBER(H120),H120,IF(AND(ISNUMBER(F120),ISNUMBER(G120)),CEILING(ROUND(F120*(1+G120),2),1000),""))</f>
        <v/>
      </c>
      <c r="J120" s="22">
        <f>IF(AND(ISNUMBER(I120),ISNUMBER(F120)),I120-F120,"")</f>
        <v/>
      </c>
      <c r="K120" s="23">
        <f>IF(AND(ISNUMBER(I120),ISNUMBER(F120)),IF(I120=0,"",(I120-F120)/I120),"")</f>
        <v/>
      </c>
      <c r="L120" s="22" t="n"/>
      <c r="M120" s="24">
        <f>IF(AND(ISNUMBER(I120),ISNUMBER(L120)),I120-L120,"")</f>
        <v/>
      </c>
      <c r="N120" s="25">
        <f>IF(AND(C120="",E120=""),"",IF(AND(H120&lt;&gt;"",NOT(ISNUMBER(H120))),"Cek Harga Manual",IF(AND(F120="-",NOT(ISNUMBER(H120))),"Isi Harga Manual",IF(F120="-","HPP akan dihapus",IF(AND(F120&lt;&gt;"",NOT(ISNUMBER(F120))),"Cek HPP",IF(AND(ISNUMBER(G120),OR(G120&lt;0,G120&gt;20)),"Cek Markup",IF(NOT(ISNUMBER(I120)),"Harga belum ada",IF(F120="","HPP kosong",IF(F120=0,"HPP 0, cek",IF(I120&lt;=F120,"RUGI / impas",IF(NOT(ISNUMBER(L120)),"Baru",IF(M120=0,"OK",IF(ABS(M120)&gt;=0.3*L120,"Berubah besar","Harga berubah")))))))))))))</f>
        <v/>
      </c>
      <c r="O120" s="18" t="n"/>
      <c r="P120" s="18" t="n"/>
      <c r="Q120" s="26" t="n"/>
    </row>
    <row r="121">
      <c r="A121" s="17" t="n"/>
      <c r="B121" s="18" t="n"/>
      <c r="C121" s="19" t="n"/>
      <c r="D121" s="19" t="n"/>
      <c r="E121" s="19" t="n"/>
      <c r="F121" s="20" t="n"/>
      <c r="G121" s="21" t="n"/>
      <c r="H121" s="20" t="n"/>
      <c r="I121" s="22">
        <f>IF(ISNUMBER(H121),H121,IF(AND(ISNUMBER(F121),ISNUMBER(G121)),CEILING(ROUND(F121*(1+G121),2),1000),""))</f>
        <v/>
      </c>
      <c r="J121" s="22">
        <f>IF(AND(ISNUMBER(I121),ISNUMBER(F121)),I121-F121,"")</f>
        <v/>
      </c>
      <c r="K121" s="23">
        <f>IF(AND(ISNUMBER(I121),ISNUMBER(F121)),IF(I121=0,"",(I121-F121)/I121),"")</f>
        <v/>
      </c>
      <c r="L121" s="22" t="n"/>
      <c r="M121" s="24">
        <f>IF(AND(ISNUMBER(I121),ISNUMBER(L121)),I121-L121,"")</f>
        <v/>
      </c>
      <c r="N121" s="25">
        <f>IF(AND(C121="",E121=""),"",IF(AND(H121&lt;&gt;"",NOT(ISNUMBER(H121))),"Cek Harga Manual",IF(AND(F121="-",NOT(ISNUMBER(H121))),"Isi Harga Manual",IF(F121="-","HPP akan dihapus",IF(AND(F121&lt;&gt;"",NOT(ISNUMBER(F121))),"Cek HPP",IF(AND(ISNUMBER(G121),OR(G121&lt;0,G121&gt;20)),"Cek Markup",IF(NOT(ISNUMBER(I121)),"Harga belum ada",IF(F121="","HPP kosong",IF(F121=0,"HPP 0, cek",IF(I121&lt;=F121,"RUGI / impas",IF(NOT(ISNUMBER(L121)),"Baru",IF(M121=0,"OK",IF(ABS(M121)&gt;=0.3*L121,"Berubah besar","Harga berubah")))))))))))))</f>
        <v/>
      </c>
      <c r="O121" s="18" t="n"/>
      <c r="P121" s="18" t="n"/>
      <c r="Q121" s="26" t="n"/>
    </row>
    <row r="122">
      <c r="A122" s="17" t="n"/>
      <c r="B122" s="18" t="n"/>
      <c r="C122" s="19" t="n"/>
      <c r="D122" s="19" t="n"/>
      <c r="E122" s="19" t="n"/>
      <c r="F122" s="20" t="n"/>
      <c r="G122" s="21" t="n"/>
      <c r="H122" s="20" t="n"/>
      <c r="I122" s="22">
        <f>IF(ISNUMBER(H122),H122,IF(AND(ISNUMBER(F122),ISNUMBER(G122)),CEILING(ROUND(F122*(1+G122),2),1000),""))</f>
        <v/>
      </c>
      <c r="J122" s="22">
        <f>IF(AND(ISNUMBER(I122),ISNUMBER(F122)),I122-F122,"")</f>
        <v/>
      </c>
      <c r="K122" s="23">
        <f>IF(AND(ISNUMBER(I122),ISNUMBER(F122)),IF(I122=0,"",(I122-F122)/I122),"")</f>
        <v/>
      </c>
      <c r="L122" s="22" t="n"/>
      <c r="M122" s="24">
        <f>IF(AND(ISNUMBER(I122),ISNUMBER(L122)),I122-L122,"")</f>
        <v/>
      </c>
      <c r="N122" s="25">
        <f>IF(AND(C122="",E122=""),"",IF(AND(H122&lt;&gt;"",NOT(ISNUMBER(H122))),"Cek Harga Manual",IF(AND(F122="-",NOT(ISNUMBER(H122))),"Isi Harga Manual",IF(F122="-","HPP akan dihapus",IF(AND(F122&lt;&gt;"",NOT(ISNUMBER(F122))),"Cek HPP",IF(AND(ISNUMBER(G122),OR(G122&lt;0,G122&gt;20)),"Cek Markup",IF(NOT(ISNUMBER(I122)),"Harga belum ada",IF(F122="","HPP kosong",IF(F122=0,"HPP 0, cek",IF(I122&lt;=F122,"RUGI / impas",IF(NOT(ISNUMBER(L122)),"Baru",IF(M122=0,"OK",IF(ABS(M122)&gt;=0.3*L122,"Berubah besar","Harga berubah")))))))))))))</f>
        <v/>
      </c>
      <c r="O122" s="18" t="n"/>
      <c r="P122" s="18" t="n"/>
      <c r="Q122" s="26" t="n"/>
    </row>
    <row r="123">
      <c r="A123" s="17" t="n"/>
      <c r="B123" s="18" t="n"/>
      <c r="C123" s="19" t="n"/>
      <c r="D123" s="19" t="n"/>
      <c r="E123" s="19" t="n"/>
      <c r="F123" s="20" t="n"/>
      <c r="G123" s="21" t="n"/>
      <c r="H123" s="20" t="n"/>
      <c r="I123" s="22">
        <f>IF(ISNUMBER(H123),H123,IF(AND(ISNUMBER(F123),ISNUMBER(G123)),CEILING(ROUND(F123*(1+G123),2),1000),""))</f>
        <v/>
      </c>
      <c r="J123" s="22">
        <f>IF(AND(ISNUMBER(I123),ISNUMBER(F123)),I123-F123,"")</f>
        <v/>
      </c>
      <c r="K123" s="23">
        <f>IF(AND(ISNUMBER(I123),ISNUMBER(F123)),IF(I123=0,"",(I123-F123)/I123),"")</f>
        <v/>
      </c>
      <c r="L123" s="22" t="n"/>
      <c r="M123" s="24">
        <f>IF(AND(ISNUMBER(I123),ISNUMBER(L123)),I123-L123,"")</f>
        <v/>
      </c>
      <c r="N123" s="25">
        <f>IF(AND(C123="",E123=""),"",IF(AND(H123&lt;&gt;"",NOT(ISNUMBER(H123))),"Cek Harga Manual",IF(AND(F123="-",NOT(ISNUMBER(H123))),"Isi Harga Manual",IF(F123="-","HPP akan dihapus",IF(AND(F123&lt;&gt;"",NOT(ISNUMBER(F123))),"Cek HPP",IF(AND(ISNUMBER(G123),OR(G123&lt;0,G123&gt;20)),"Cek Markup",IF(NOT(ISNUMBER(I123)),"Harga belum ada",IF(F123="","HPP kosong",IF(F123=0,"HPP 0, cek",IF(I123&lt;=F123,"RUGI / impas",IF(NOT(ISNUMBER(L123)),"Baru",IF(M123=0,"OK",IF(ABS(M123)&gt;=0.3*L123,"Berubah besar","Harga berubah")))))))))))))</f>
        <v/>
      </c>
      <c r="O123" s="18" t="n"/>
      <c r="P123" s="18" t="n"/>
      <c r="Q123" s="26" t="n"/>
    </row>
    <row r="124">
      <c r="A124" s="17" t="n"/>
      <c r="B124" s="18" t="n"/>
      <c r="C124" s="19" t="n"/>
      <c r="D124" s="19" t="n"/>
      <c r="E124" s="19" t="n"/>
      <c r="F124" s="20" t="n"/>
      <c r="G124" s="21" t="n"/>
      <c r="H124" s="20" t="n"/>
      <c r="I124" s="22">
        <f>IF(ISNUMBER(H124),H124,IF(AND(ISNUMBER(F124),ISNUMBER(G124)),CEILING(ROUND(F124*(1+G124),2),1000),""))</f>
        <v/>
      </c>
      <c r="J124" s="22">
        <f>IF(AND(ISNUMBER(I124),ISNUMBER(F124)),I124-F124,"")</f>
        <v/>
      </c>
      <c r="K124" s="23">
        <f>IF(AND(ISNUMBER(I124),ISNUMBER(F124)),IF(I124=0,"",(I124-F124)/I124),"")</f>
        <v/>
      </c>
      <c r="L124" s="22" t="n"/>
      <c r="M124" s="24">
        <f>IF(AND(ISNUMBER(I124),ISNUMBER(L124)),I124-L124,"")</f>
        <v/>
      </c>
      <c r="N124" s="25">
        <f>IF(AND(C124="",E124=""),"",IF(AND(H124&lt;&gt;"",NOT(ISNUMBER(H124))),"Cek Harga Manual",IF(AND(F124="-",NOT(ISNUMBER(H124))),"Isi Harga Manual",IF(F124="-","HPP akan dihapus",IF(AND(F124&lt;&gt;"",NOT(ISNUMBER(F124))),"Cek HPP",IF(AND(ISNUMBER(G124),OR(G124&lt;0,G124&gt;20)),"Cek Markup",IF(NOT(ISNUMBER(I124)),"Harga belum ada",IF(F124="","HPP kosong",IF(F124=0,"HPP 0, cek",IF(I124&lt;=F124,"RUGI / impas",IF(NOT(ISNUMBER(L124)),"Baru",IF(M124=0,"OK",IF(ABS(M124)&gt;=0.3*L124,"Berubah besar","Harga berubah")))))))))))))</f>
        <v/>
      </c>
      <c r="O124" s="18" t="n"/>
      <c r="P124" s="18" t="n"/>
      <c r="Q124" s="26" t="n"/>
    </row>
    <row r="125">
      <c r="A125" s="17" t="n"/>
      <c r="B125" s="18" t="n"/>
      <c r="C125" s="19" t="n"/>
      <c r="D125" s="19" t="n"/>
      <c r="E125" s="19" t="n"/>
      <c r="F125" s="20" t="n"/>
      <c r="G125" s="21" t="n"/>
      <c r="H125" s="20" t="n"/>
      <c r="I125" s="22">
        <f>IF(ISNUMBER(H125),H125,IF(AND(ISNUMBER(F125),ISNUMBER(G125)),CEILING(ROUND(F125*(1+G125),2),1000),""))</f>
        <v/>
      </c>
      <c r="J125" s="22">
        <f>IF(AND(ISNUMBER(I125),ISNUMBER(F125)),I125-F125,"")</f>
        <v/>
      </c>
      <c r="K125" s="23">
        <f>IF(AND(ISNUMBER(I125),ISNUMBER(F125)),IF(I125=0,"",(I125-F125)/I125),"")</f>
        <v/>
      </c>
      <c r="L125" s="22" t="n"/>
      <c r="M125" s="24">
        <f>IF(AND(ISNUMBER(I125),ISNUMBER(L125)),I125-L125,"")</f>
        <v/>
      </c>
      <c r="N125" s="25">
        <f>IF(AND(C125="",E125=""),"",IF(AND(H125&lt;&gt;"",NOT(ISNUMBER(H125))),"Cek Harga Manual",IF(AND(F125="-",NOT(ISNUMBER(H125))),"Isi Harga Manual",IF(F125="-","HPP akan dihapus",IF(AND(F125&lt;&gt;"",NOT(ISNUMBER(F125))),"Cek HPP",IF(AND(ISNUMBER(G125),OR(G125&lt;0,G125&gt;20)),"Cek Markup",IF(NOT(ISNUMBER(I125)),"Harga belum ada",IF(F125="","HPP kosong",IF(F125=0,"HPP 0, cek",IF(I125&lt;=F125,"RUGI / impas",IF(NOT(ISNUMBER(L125)),"Baru",IF(M125=0,"OK",IF(ABS(M125)&gt;=0.3*L125,"Berubah besar","Harga berubah")))))))))))))</f>
        <v/>
      </c>
      <c r="O125" s="18" t="n"/>
      <c r="P125" s="18" t="n"/>
      <c r="Q125" s="26" t="n"/>
    </row>
    <row r="126">
      <c r="A126" s="17" t="n"/>
      <c r="B126" s="18" t="n"/>
      <c r="C126" s="19" t="n"/>
      <c r="D126" s="19" t="n"/>
      <c r="E126" s="19" t="n"/>
      <c r="F126" s="20" t="n"/>
      <c r="G126" s="21" t="n"/>
      <c r="H126" s="20" t="n"/>
      <c r="I126" s="22">
        <f>IF(ISNUMBER(H126),H126,IF(AND(ISNUMBER(F126),ISNUMBER(G126)),CEILING(ROUND(F126*(1+G126),2),1000),""))</f>
        <v/>
      </c>
      <c r="J126" s="22">
        <f>IF(AND(ISNUMBER(I126),ISNUMBER(F126)),I126-F126,"")</f>
        <v/>
      </c>
      <c r="K126" s="23">
        <f>IF(AND(ISNUMBER(I126),ISNUMBER(F126)),IF(I126=0,"",(I126-F126)/I126),"")</f>
        <v/>
      </c>
      <c r="L126" s="22" t="n"/>
      <c r="M126" s="24">
        <f>IF(AND(ISNUMBER(I126),ISNUMBER(L126)),I126-L126,"")</f>
        <v/>
      </c>
      <c r="N126" s="25">
        <f>IF(AND(C126="",E126=""),"",IF(AND(H126&lt;&gt;"",NOT(ISNUMBER(H126))),"Cek Harga Manual",IF(AND(F126="-",NOT(ISNUMBER(H126))),"Isi Harga Manual",IF(F126="-","HPP akan dihapus",IF(AND(F126&lt;&gt;"",NOT(ISNUMBER(F126))),"Cek HPP",IF(AND(ISNUMBER(G126),OR(G126&lt;0,G126&gt;20)),"Cek Markup",IF(NOT(ISNUMBER(I126)),"Harga belum ada",IF(F126="","HPP kosong",IF(F126=0,"HPP 0, cek",IF(I126&lt;=F126,"RUGI / impas",IF(NOT(ISNUMBER(L126)),"Baru",IF(M126=0,"OK",IF(ABS(M126)&gt;=0.3*L126,"Berubah besar","Harga berubah")))))))))))))</f>
        <v/>
      </c>
      <c r="O126" s="18" t="n"/>
      <c r="P126" s="18" t="n"/>
      <c r="Q126" s="26" t="n"/>
    </row>
    <row r="127">
      <c r="A127" s="17" t="n"/>
      <c r="B127" s="18" t="n"/>
      <c r="C127" s="19" t="n"/>
      <c r="D127" s="19" t="n"/>
      <c r="E127" s="19" t="n"/>
      <c r="F127" s="20" t="n"/>
      <c r="G127" s="21" t="n"/>
      <c r="H127" s="20" t="n"/>
      <c r="I127" s="22">
        <f>IF(ISNUMBER(H127),H127,IF(AND(ISNUMBER(F127),ISNUMBER(G127)),CEILING(ROUND(F127*(1+G127),2),1000),""))</f>
        <v/>
      </c>
      <c r="J127" s="22">
        <f>IF(AND(ISNUMBER(I127),ISNUMBER(F127)),I127-F127,"")</f>
        <v/>
      </c>
      <c r="K127" s="23">
        <f>IF(AND(ISNUMBER(I127),ISNUMBER(F127)),IF(I127=0,"",(I127-F127)/I127),"")</f>
        <v/>
      </c>
      <c r="L127" s="22" t="n"/>
      <c r="M127" s="24">
        <f>IF(AND(ISNUMBER(I127),ISNUMBER(L127)),I127-L127,"")</f>
        <v/>
      </c>
      <c r="N127" s="25">
        <f>IF(AND(C127="",E127=""),"",IF(AND(H127&lt;&gt;"",NOT(ISNUMBER(H127))),"Cek Harga Manual",IF(AND(F127="-",NOT(ISNUMBER(H127))),"Isi Harga Manual",IF(F127="-","HPP akan dihapus",IF(AND(F127&lt;&gt;"",NOT(ISNUMBER(F127))),"Cek HPP",IF(AND(ISNUMBER(G127),OR(G127&lt;0,G127&gt;20)),"Cek Markup",IF(NOT(ISNUMBER(I127)),"Harga belum ada",IF(F127="","HPP kosong",IF(F127=0,"HPP 0, cek",IF(I127&lt;=F127,"RUGI / impas",IF(NOT(ISNUMBER(L127)),"Baru",IF(M127=0,"OK",IF(ABS(M127)&gt;=0.3*L127,"Berubah besar","Harga berubah")))))))))))))</f>
        <v/>
      </c>
      <c r="O127" s="18" t="n"/>
      <c r="P127" s="18" t="n"/>
      <c r="Q127" s="26" t="n"/>
    </row>
    <row r="128">
      <c r="A128" s="17" t="n"/>
      <c r="B128" s="18" t="n"/>
      <c r="C128" s="19" t="n"/>
      <c r="D128" s="19" t="n"/>
      <c r="E128" s="19" t="n"/>
      <c r="F128" s="20" t="n"/>
      <c r="G128" s="21" t="n"/>
      <c r="H128" s="20" t="n"/>
      <c r="I128" s="22">
        <f>IF(ISNUMBER(H128),H128,IF(AND(ISNUMBER(F128),ISNUMBER(G128)),CEILING(ROUND(F128*(1+G128),2),1000),""))</f>
        <v/>
      </c>
      <c r="J128" s="22">
        <f>IF(AND(ISNUMBER(I128),ISNUMBER(F128)),I128-F128,"")</f>
        <v/>
      </c>
      <c r="K128" s="23">
        <f>IF(AND(ISNUMBER(I128),ISNUMBER(F128)),IF(I128=0,"",(I128-F128)/I128),"")</f>
        <v/>
      </c>
      <c r="L128" s="22" t="n"/>
      <c r="M128" s="24">
        <f>IF(AND(ISNUMBER(I128),ISNUMBER(L128)),I128-L128,"")</f>
        <v/>
      </c>
      <c r="N128" s="25">
        <f>IF(AND(C128="",E128=""),"",IF(AND(H128&lt;&gt;"",NOT(ISNUMBER(H128))),"Cek Harga Manual",IF(AND(F128="-",NOT(ISNUMBER(H128))),"Isi Harga Manual",IF(F128="-","HPP akan dihapus",IF(AND(F128&lt;&gt;"",NOT(ISNUMBER(F128))),"Cek HPP",IF(AND(ISNUMBER(G128),OR(G128&lt;0,G128&gt;20)),"Cek Markup",IF(NOT(ISNUMBER(I128)),"Harga belum ada",IF(F128="","HPP kosong",IF(F128=0,"HPP 0, cek",IF(I128&lt;=F128,"RUGI / impas",IF(NOT(ISNUMBER(L128)),"Baru",IF(M128=0,"OK",IF(ABS(M128)&gt;=0.3*L128,"Berubah besar","Harga berubah")))))))))))))</f>
        <v/>
      </c>
      <c r="O128" s="18" t="n"/>
      <c r="P128" s="18" t="n"/>
      <c r="Q128" s="26" t="n"/>
    </row>
    <row r="129">
      <c r="A129" s="17" t="n"/>
      <c r="B129" s="18" t="n"/>
      <c r="C129" s="19" t="n"/>
      <c r="D129" s="19" t="n"/>
      <c r="E129" s="19" t="n"/>
      <c r="F129" s="20" t="n"/>
      <c r="G129" s="21" t="n"/>
      <c r="H129" s="20" t="n"/>
      <c r="I129" s="22">
        <f>IF(ISNUMBER(H129),H129,IF(AND(ISNUMBER(F129),ISNUMBER(G129)),CEILING(ROUND(F129*(1+G129),2),1000),""))</f>
        <v/>
      </c>
      <c r="J129" s="22">
        <f>IF(AND(ISNUMBER(I129),ISNUMBER(F129)),I129-F129,"")</f>
        <v/>
      </c>
      <c r="K129" s="23">
        <f>IF(AND(ISNUMBER(I129),ISNUMBER(F129)),IF(I129=0,"",(I129-F129)/I129),"")</f>
        <v/>
      </c>
      <c r="L129" s="22" t="n"/>
      <c r="M129" s="24">
        <f>IF(AND(ISNUMBER(I129),ISNUMBER(L129)),I129-L129,"")</f>
        <v/>
      </c>
      <c r="N129" s="25">
        <f>IF(AND(C129="",E129=""),"",IF(AND(H129&lt;&gt;"",NOT(ISNUMBER(H129))),"Cek Harga Manual",IF(AND(F129="-",NOT(ISNUMBER(H129))),"Isi Harga Manual",IF(F129="-","HPP akan dihapus",IF(AND(F129&lt;&gt;"",NOT(ISNUMBER(F129))),"Cek HPP",IF(AND(ISNUMBER(G129),OR(G129&lt;0,G129&gt;20)),"Cek Markup",IF(NOT(ISNUMBER(I129)),"Harga belum ada",IF(F129="","HPP kosong",IF(F129=0,"HPP 0, cek",IF(I129&lt;=F129,"RUGI / impas",IF(NOT(ISNUMBER(L129)),"Baru",IF(M129=0,"OK",IF(ABS(M129)&gt;=0.3*L129,"Berubah besar","Harga berubah")))))))))))))</f>
        <v/>
      </c>
      <c r="O129" s="18" t="n"/>
      <c r="P129" s="18" t="n"/>
      <c r="Q129" s="26" t="n"/>
    </row>
    <row r="130">
      <c r="A130" s="17" t="n"/>
      <c r="B130" s="18" t="n"/>
      <c r="C130" s="19" t="n"/>
      <c r="D130" s="19" t="n"/>
      <c r="E130" s="19" t="n"/>
      <c r="F130" s="20" t="n"/>
      <c r="G130" s="21" t="n"/>
      <c r="H130" s="20" t="n"/>
      <c r="I130" s="22">
        <f>IF(ISNUMBER(H130),H130,IF(AND(ISNUMBER(F130),ISNUMBER(G130)),CEILING(ROUND(F130*(1+G130),2),1000),""))</f>
        <v/>
      </c>
      <c r="J130" s="22">
        <f>IF(AND(ISNUMBER(I130),ISNUMBER(F130)),I130-F130,"")</f>
        <v/>
      </c>
      <c r="K130" s="23">
        <f>IF(AND(ISNUMBER(I130),ISNUMBER(F130)),IF(I130=0,"",(I130-F130)/I130),"")</f>
        <v/>
      </c>
      <c r="L130" s="22" t="n"/>
      <c r="M130" s="24">
        <f>IF(AND(ISNUMBER(I130),ISNUMBER(L130)),I130-L130,"")</f>
        <v/>
      </c>
      <c r="N130" s="25">
        <f>IF(AND(C130="",E130=""),"",IF(AND(H130&lt;&gt;"",NOT(ISNUMBER(H130))),"Cek Harga Manual",IF(AND(F130="-",NOT(ISNUMBER(H130))),"Isi Harga Manual",IF(F130="-","HPP akan dihapus",IF(AND(F130&lt;&gt;"",NOT(ISNUMBER(F130))),"Cek HPP",IF(AND(ISNUMBER(G130),OR(G130&lt;0,G130&gt;20)),"Cek Markup",IF(NOT(ISNUMBER(I130)),"Harga belum ada",IF(F130="","HPP kosong",IF(F130=0,"HPP 0, cek",IF(I130&lt;=F130,"RUGI / impas",IF(NOT(ISNUMBER(L130)),"Baru",IF(M130=0,"OK",IF(ABS(M130)&gt;=0.3*L130,"Berubah besar","Harga berubah")))))))))))))</f>
        <v/>
      </c>
      <c r="O130" s="18" t="n"/>
      <c r="P130" s="18" t="n"/>
      <c r="Q130" s="26" t="n"/>
    </row>
    <row r="131">
      <c r="A131" s="17" t="n"/>
      <c r="B131" s="18" t="n"/>
      <c r="C131" s="19" t="n"/>
      <c r="D131" s="19" t="n"/>
      <c r="E131" s="19" t="n"/>
      <c r="F131" s="20" t="n"/>
      <c r="G131" s="21" t="n"/>
      <c r="H131" s="20" t="n"/>
      <c r="I131" s="22">
        <f>IF(ISNUMBER(H131),H131,IF(AND(ISNUMBER(F131),ISNUMBER(G131)),CEILING(ROUND(F131*(1+G131),2),1000),""))</f>
        <v/>
      </c>
      <c r="J131" s="22">
        <f>IF(AND(ISNUMBER(I131),ISNUMBER(F131)),I131-F131,"")</f>
        <v/>
      </c>
      <c r="K131" s="23">
        <f>IF(AND(ISNUMBER(I131),ISNUMBER(F131)),IF(I131=0,"",(I131-F131)/I131),"")</f>
        <v/>
      </c>
      <c r="L131" s="22" t="n"/>
      <c r="M131" s="24">
        <f>IF(AND(ISNUMBER(I131),ISNUMBER(L131)),I131-L131,"")</f>
        <v/>
      </c>
      <c r="N131" s="25">
        <f>IF(AND(C131="",E131=""),"",IF(AND(H131&lt;&gt;"",NOT(ISNUMBER(H131))),"Cek Harga Manual",IF(AND(F131="-",NOT(ISNUMBER(H131))),"Isi Harga Manual",IF(F131="-","HPP akan dihapus",IF(AND(F131&lt;&gt;"",NOT(ISNUMBER(F131))),"Cek HPP",IF(AND(ISNUMBER(G131),OR(G131&lt;0,G131&gt;20)),"Cek Markup",IF(NOT(ISNUMBER(I131)),"Harga belum ada",IF(F131="","HPP kosong",IF(F131=0,"HPP 0, cek",IF(I131&lt;=F131,"RUGI / impas",IF(NOT(ISNUMBER(L131)),"Baru",IF(M131=0,"OK",IF(ABS(M131)&gt;=0.3*L131,"Berubah besar","Harga berubah")))))))))))))</f>
        <v/>
      </c>
      <c r="O131" s="18" t="n"/>
      <c r="P131" s="18" t="n"/>
      <c r="Q131" s="26" t="n"/>
    </row>
    <row r="132">
      <c r="A132" s="17" t="n"/>
      <c r="B132" s="18" t="n"/>
      <c r="C132" s="19" t="n"/>
      <c r="D132" s="19" t="n"/>
      <c r="E132" s="19" t="n"/>
      <c r="F132" s="20" t="n"/>
      <c r="G132" s="21" t="n"/>
      <c r="H132" s="20" t="n"/>
      <c r="I132" s="22">
        <f>IF(ISNUMBER(H132),H132,IF(AND(ISNUMBER(F132),ISNUMBER(G132)),CEILING(ROUND(F132*(1+G132),2),1000),""))</f>
        <v/>
      </c>
      <c r="J132" s="22">
        <f>IF(AND(ISNUMBER(I132),ISNUMBER(F132)),I132-F132,"")</f>
        <v/>
      </c>
      <c r="K132" s="23">
        <f>IF(AND(ISNUMBER(I132),ISNUMBER(F132)),IF(I132=0,"",(I132-F132)/I132),"")</f>
        <v/>
      </c>
      <c r="L132" s="22" t="n"/>
      <c r="M132" s="24">
        <f>IF(AND(ISNUMBER(I132),ISNUMBER(L132)),I132-L132,"")</f>
        <v/>
      </c>
      <c r="N132" s="25">
        <f>IF(AND(C132="",E132=""),"",IF(AND(H132&lt;&gt;"",NOT(ISNUMBER(H132))),"Cek Harga Manual",IF(AND(F132="-",NOT(ISNUMBER(H132))),"Isi Harga Manual",IF(F132="-","HPP akan dihapus",IF(AND(F132&lt;&gt;"",NOT(ISNUMBER(F132))),"Cek HPP",IF(AND(ISNUMBER(G132),OR(G132&lt;0,G132&gt;20)),"Cek Markup",IF(NOT(ISNUMBER(I132)),"Harga belum ada",IF(F132="","HPP kosong",IF(F132=0,"HPP 0, cek",IF(I132&lt;=F132,"RUGI / impas",IF(NOT(ISNUMBER(L132)),"Baru",IF(M132=0,"OK",IF(ABS(M132)&gt;=0.3*L132,"Berubah besar","Harga berubah")))))))))))))</f>
        <v/>
      </c>
      <c r="O132" s="18" t="n"/>
      <c r="P132" s="18" t="n"/>
      <c r="Q132" s="26" t="n"/>
    </row>
    <row r="133">
      <c r="A133" s="17" t="n"/>
      <c r="B133" s="18" t="n"/>
      <c r="C133" s="19" t="n"/>
      <c r="D133" s="19" t="n"/>
      <c r="E133" s="19" t="n"/>
      <c r="F133" s="20" t="n"/>
      <c r="G133" s="21" t="n"/>
      <c r="H133" s="20" t="n"/>
      <c r="I133" s="22">
        <f>IF(ISNUMBER(H133),H133,IF(AND(ISNUMBER(F133),ISNUMBER(G133)),CEILING(ROUND(F133*(1+G133),2),1000),""))</f>
        <v/>
      </c>
      <c r="J133" s="22">
        <f>IF(AND(ISNUMBER(I133),ISNUMBER(F133)),I133-F133,"")</f>
        <v/>
      </c>
      <c r="K133" s="23">
        <f>IF(AND(ISNUMBER(I133),ISNUMBER(F133)),IF(I133=0,"",(I133-F133)/I133),"")</f>
        <v/>
      </c>
      <c r="L133" s="22" t="n"/>
      <c r="M133" s="24">
        <f>IF(AND(ISNUMBER(I133),ISNUMBER(L133)),I133-L133,"")</f>
        <v/>
      </c>
      <c r="N133" s="25">
        <f>IF(AND(C133="",E133=""),"",IF(AND(H133&lt;&gt;"",NOT(ISNUMBER(H133))),"Cek Harga Manual",IF(AND(F133="-",NOT(ISNUMBER(H133))),"Isi Harga Manual",IF(F133="-","HPP akan dihapus",IF(AND(F133&lt;&gt;"",NOT(ISNUMBER(F133))),"Cek HPP",IF(AND(ISNUMBER(G133),OR(G133&lt;0,G133&gt;20)),"Cek Markup",IF(NOT(ISNUMBER(I133)),"Harga belum ada",IF(F133="","HPP kosong",IF(F133=0,"HPP 0, cek",IF(I133&lt;=F133,"RUGI / impas",IF(NOT(ISNUMBER(L133)),"Baru",IF(M133=0,"OK",IF(ABS(M133)&gt;=0.3*L133,"Berubah besar","Harga berubah")))))))))))))</f>
        <v/>
      </c>
      <c r="O133" s="18" t="n"/>
      <c r="P133" s="18" t="n"/>
      <c r="Q133" s="26" t="n"/>
    </row>
    <row r="134">
      <c r="A134" s="17" t="n"/>
      <c r="B134" s="18" t="n"/>
      <c r="C134" s="19" t="n"/>
      <c r="D134" s="19" t="n"/>
      <c r="E134" s="19" t="n"/>
      <c r="F134" s="20" t="n"/>
      <c r="G134" s="21" t="n"/>
      <c r="H134" s="20" t="n"/>
      <c r="I134" s="22">
        <f>IF(ISNUMBER(H134),H134,IF(AND(ISNUMBER(F134),ISNUMBER(G134)),CEILING(ROUND(F134*(1+G134),2),1000),""))</f>
        <v/>
      </c>
      <c r="J134" s="22">
        <f>IF(AND(ISNUMBER(I134),ISNUMBER(F134)),I134-F134,"")</f>
        <v/>
      </c>
      <c r="K134" s="23">
        <f>IF(AND(ISNUMBER(I134),ISNUMBER(F134)),IF(I134=0,"",(I134-F134)/I134),"")</f>
        <v/>
      </c>
      <c r="L134" s="22" t="n"/>
      <c r="M134" s="24">
        <f>IF(AND(ISNUMBER(I134),ISNUMBER(L134)),I134-L134,"")</f>
        <v/>
      </c>
      <c r="N134" s="25">
        <f>IF(AND(C134="",E134=""),"",IF(AND(H134&lt;&gt;"",NOT(ISNUMBER(H134))),"Cek Harga Manual",IF(AND(F134="-",NOT(ISNUMBER(H134))),"Isi Harga Manual",IF(F134="-","HPP akan dihapus",IF(AND(F134&lt;&gt;"",NOT(ISNUMBER(F134))),"Cek HPP",IF(AND(ISNUMBER(G134),OR(G134&lt;0,G134&gt;20)),"Cek Markup",IF(NOT(ISNUMBER(I134)),"Harga belum ada",IF(F134="","HPP kosong",IF(F134=0,"HPP 0, cek",IF(I134&lt;=F134,"RUGI / impas",IF(NOT(ISNUMBER(L134)),"Baru",IF(M134=0,"OK",IF(ABS(M134)&gt;=0.3*L134,"Berubah besar","Harga berubah")))))))))))))</f>
        <v/>
      </c>
      <c r="O134" s="18" t="n"/>
      <c r="P134" s="18" t="n"/>
      <c r="Q134" s="26" t="n"/>
    </row>
    <row r="135">
      <c r="A135" s="17" t="n"/>
      <c r="B135" s="18" t="n"/>
      <c r="C135" s="19" t="n"/>
      <c r="D135" s="19" t="n"/>
      <c r="E135" s="19" t="n"/>
      <c r="F135" s="20" t="n"/>
      <c r="G135" s="21" t="n"/>
      <c r="H135" s="20" t="n"/>
      <c r="I135" s="22">
        <f>IF(ISNUMBER(H135),H135,IF(AND(ISNUMBER(F135),ISNUMBER(G135)),CEILING(ROUND(F135*(1+G135),2),1000),""))</f>
        <v/>
      </c>
      <c r="J135" s="22">
        <f>IF(AND(ISNUMBER(I135),ISNUMBER(F135)),I135-F135,"")</f>
        <v/>
      </c>
      <c r="K135" s="23">
        <f>IF(AND(ISNUMBER(I135),ISNUMBER(F135)),IF(I135=0,"",(I135-F135)/I135),"")</f>
        <v/>
      </c>
      <c r="L135" s="22" t="n"/>
      <c r="M135" s="24">
        <f>IF(AND(ISNUMBER(I135),ISNUMBER(L135)),I135-L135,"")</f>
        <v/>
      </c>
      <c r="N135" s="25">
        <f>IF(AND(C135="",E135=""),"",IF(AND(H135&lt;&gt;"",NOT(ISNUMBER(H135))),"Cek Harga Manual",IF(AND(F135="-",NOT(ISNUMBER(H135))),"Isi Harga Manual",IF(F135="-","HPP akan dihapus",IF(AND(F135&lt;&gt;"",NOT(ISNUMBER(F135))),"Cek HPP",IF(AND(ISNUMBER(G135),OR(G135&lt;0,G135&gt;20)),"Cek Markup",IF(NOT(ISNUMBER(I135)),"Harga belum ada",IF(F135="","HPP kosong",IF(F135=0,"HPP 0, cek",IF(I135&lt;=F135,"RUGI / impas",IF(NOT(ISNUMBER(L135)),"Baru",IF(M135=0,"OK",IF(ABS(M135)&gt;=0.3*L135,"Berubah besar","Harga berubah")))))))))))))</f>
        <v/>
      </c>
      <c r="O135" s="18" t="n"/>
      <c r="P135" s="18" t="n"/>
      <c r="Q135" s="26" t="n"/>
    </row>
    <row r="136">
      <c r="A136" s="17" t="n"/>
      <c r="B136" s="18" t="n"/>
      <c r="C136" s="19" t="n"/>
      <c r="D136" s="19" t="n"/>
      <c r="E136" s="19" t="n"/>
      <c r="F136" s="20" t="n"/>
      <c r="G136" s="21" t="n"/>
      <c r="H136" s="20" t="n"/>
      <c r="I136" s="22">
        <f>IF(ISNUMBER(H136),H136,IF(AND(ISNUMBER(F136),ISNUMBER(G136)),CEILING(ROUND(F136*(1+G136),2),1000),""))</f>
        <v/>
      </c>
      <c r="J136" s="22">
        <f>IF(AND(ISNUMBER(I136),ISNUMBER(F136)),I136-F136,"")</f>
        <v/>
      </c>
      <c r="K136" s="23">
        <f>IF(AND(ISNUMBER(I136),ISNUMBER(F136)),IF(I136=0,"",(I136-F136)/I136),"")</f>
        <v/>
      </c>
      <c r="L136" s="22" t="n"/>
      <c r="M136" s="24">
        <f>IF(AND(ISNUMBER(I136),ISNUMBER(L136)),I136-L136,"")</f>
        <v/>
      </c>
      <c r="N136" s="25">
        <f>IF(AND(C136="",E136=""),"",IF(AND(H136&lt;&gt;"",NOT(ISNUMBER(H136))),"Cek Harga Manual",IF(AND(F136="-",NOT(ISNUMBER(H136))),"Isi Harga Manual",IF(F136="-","HPP akan dihapus",IF(AND(F136&lt;&gt;"",NOT(ISNUMBER(F136))),"Cek HPP",IF(AND(ISNUMBER(G136),OR(G136&lt;0,G136&gt;20)),"Cek Markup",IF(NOT(ISNUMBER(I136)),"Harga belum ada",IF(F136="","HPP kosong",IF(F136=0,"HPP 0, cek",IF(I136&lt;=F136,"RUGI / impas",IF(NOT(ISNUMBER(L136)),"Baru",IF(M136=0,"OK",IF(ABS(M136)&gt;=0.3*L136,"Berubah besar","Harga berubah")))))))))))))</f>
        <v/>
      </c>
      <c r="O136" s="18" t="n"/>
      <c r="P136" s="18" t="n"/>
      <c r="Q136" s="26" t="n"/>
    </row>
    <row r="137">
      <c r="A137" s="17" t="n"/>
      <c r="B137" s="18" t="n"/>
      <c r="C137" s="19" t="n"/>
      <c r="D137" s="19" t="n"/>
      <c r="E137" s="19" t="n"/>
      <c r="F137" s="20" t="n"/>
      <c r="G137" s="21" t="n"/>
      <c r="H137" s="20" t="n"/>
      <c r="I137" s="22">
        <f>IF(ISNUMBER(H137),H137,IF(AND(ISNUMBER(F137),ISNUMBER(G137)),CEILING(ROUND(F137*(1+G137),2),1000),""))</f>
        <v/>
      </c>
      <c r="J137" s="22">
        <f>IF(AND(ISNUMBER(I137),ISNUMBER(F137)),I137-F137,"")</f>
        <v/>
      </c>
      <c r="K137" s="23">
        <f>IF(AND(ISNUMBER(I137),ISNUMBER(F137)),IF(I137=0,"",(I137-F137)/I137),"")</f>
        <v/>
      </c>
      <c r="L137" s="22" t="n"/>
      <c r="M137" s="24">
        <f>IF(AND(ISNUMBER(I137),ISNUMBER(L137)),I137-L137,"")</f>
        <v/>
      </c>
      <c r="N137" s="25">
        <f>IF(AND(C137="",E137=""),"",IF(AND(H137&lt;&gt;"",NOT(ISNUMBER(H137))),"Cek Harga Manual",IF(AND(F137="-",NOT(ISNUMBER(H137))),"Isi Harga Manual",IF(F137="-","HPP akan dihapus",IF(AND(F137&lt;&gt;"",NOT(ISNUMBER(F137))),"Cek HPP",IF(AND(ISNUMBER(G137),OR(G137&lt;0,G137&gt;20)),"Cek Markup",IF(NOT(ISNUMBER(I137)),"Harga belum ada",IF(F137="","HPP kosong",IF(F137=0,"HPP 0, cek",IF(I137&lt;=F137,"RUGI / impas",IF(NOT(ISNUMBER(L137)),"Baru",IF(M137=0,"OK",IF(ABS(M137)&gt;=0.3*L137,"Berubah besar","Harga berubah")))))))))))))</f>
        <v/>
      </c>
      <c r="O137" s="18" t="n"/>
      <c r="P137" s="18" t="n"/>
      <c r="Q137" s="26" t="n"/>
    </row>
    <row r="138">
      <c r="A138" s="17" t="n"/>
      <c r="B138" s="18" t="n"/>
      <c r="C138" s="19" t="n"/>
      <c r="D138" s="19" t="n"/>
      <c r="E138" s="19" t="n"/>
      <c r="F138" s="20" t="n"/>
      <c r="G138" s="21" t="n"/>
      <c r="H138" s="20" t="n"/>
      <c r="I138" s="22">
        <f>IF(ISNUMBER(H138),H138,IF(AND(ISNUMBER(F138),ISNUMBER(G138)),CEILING(ROUND(F138*(1+G138),2),1000),""))</f>
        <v/>
      </c>
      <c r="J138" s="22">
        <f>IF(AND(ISNUMBER(I138),ISNUMBER(F138)),I138-F138,"")</f>
        <v/>
      </c>
      <c r="K138" s="23">
        <f>IF(AND(ISNUMBER(I138),ISNUMBER(F138)),IF(I138=0,"",(I138-F138)/I138),"")</f>
        <v/>
      </c>
      <c r="L138" s="22" t="n"/>
      <c r="M138" s="24">
        <f>IF(AND(ISNUMBER(I138),ISNUMBER(L138)),I138-L138,"")</f>
        <v/>
      </c>
      <c r="N138" s="25">
        <f>IF(AND(C138="",E138=""),"",IF(AND(H138&lt;&gt;"",NOT(ISNUMBER(H138))),"Cek Harga Manual",IF(AND(F138="-",NOT(ISNUMBER(H138))),"Isi Harga Manual",IF(F138="-","HPP akan dihapus",IF(AND(F138&lt;&gt;"",NOT(ISNUMBER(F138))),"Cek HPP",IF(AND(ISNUMBER(G138),OR(G138&lt;0,G138&gt;20)),"Cek Markup",IF(NOT(ISNUMBER(I138)),"Harga belum ada",IF(F138="","HPP kosong",IF(F138=0,"HPP 0, cek",IF(I138&lt;=F138,"RUGI / impas",IF(NOT(ISNUMBER(L138)),"Baru",IF(M138=0,"OK",IF(ABS(M138)&gt;=0.3*L138,"Berubah besar","Harga berubah")))))))))))))</f>
        <v/>
      </c>
      <c r="O138" s="18" t="n"/>
      <c r="P138" s="18" t="n"/>
      <c r="Q138" s="26" t="n"/>
    </row>
    <row r="139">
      <c r="A139" s="17" t="n"/>
      <c r="B139" s="18" t="n"/>
      <c r="C139" s="19" t="n"/>
      <c r="D139" s="19" t="n"/>
      <c r="E139" s="19" t="n"/>
      <c r="F139" s="20" t="n"/>
      <c r="G139" s="21" t="n"/>
      <c r="H139" s="20" t="n"/>
      <c r="I139" s="22">
        <f>IF(ISNUMBER(H139),H139,IF(AND(ISNUMBER(F139),ISNUMBER(G139)),CEILING(ROUND(F139*(1+G139),2),1000),""))</f>
        <v/>
      </c>
      <c r="J139" s="22">
        <f>IF(AND(ISNUMBER(I139),ISNUMBER(F139)),I139-F139,"")</f>
        <v/>
      </c>
      <c r="K139" s="23">
        <f>IF(AND(ISNUMBER(I139),ISNUMBER(F139)),IF(I139=0,"",(I139-F139)/I139),"")</f>
        <v/>
      </c>
      <c r="L139" s="22" t="n"/>
      <c r="M139" s="24">
        <f>IF(AND(ISNUMBER(I139),ISNUMBER(L139)),I139-L139,"")</f>
        <v/>
      </c>
      <c r="N139" s="25">
        <f>IF(AND(C139="",E139=""),"",IF(AND(H139&lt;&gt;"",NOT(ISNUMBER(H139))),"Cek Harga Manual",IF(AND(F139="-",NOT(ISNUMBER(H139))),"Isi Harga Manual",IF(F139="-","HPP akan dihapus",IF(AND(F139&lt;&gt;"",NOT(ISNUMBER(F139))),"Cek HPP",IF(AND(ISNUMBER(G139),OR(G139&lt;0,G139&gt;20)),"Cek Markup",IF(NOT(ISNUMBER(I139)),"Harga belum ada",IF(F139="","HPP kosong",IF(F139=0,"HPP 0, cek",IF(I139&lt;=F139,"RUGI / impas",IF(NOT(ISNUMBER(L139)),"Baru",IF(M139=0,"OK",IF(ABS(M139)&gt;=0.3*L139,"Berubah besar","Harga berubah")))))))))))))</f>
        <v/>
      </c>
      <c r="O139" s="18" t="n"/>
      <c r="P139" s="18" t="n"/>
      <c r="Q139" s="26" t="n"/>
    </row>
    <row r="140">
      <c r="A140" s="17" t="n"/>
      <c r="B140" s="18" t="n"/>
      <c r="C140" s="19" t="n"/>
      <c r="D140" s="19" t="n"/>
      <c r="E140" s="19" t="n"/>
      <c r="F140" s="20" t="n"/>
      <c r="G140" s="21" t="n"/>
      <c r="H140" s="20" t="n"/>
      <c r="I140" s="22">
        <f>IF(ISNUMBER(H140),H140,IF(AND(ISNUMBER(F140),ISNUMBER(G140)),CEILING(ROUND(F140*(1+G140),2),1000),""))</f>
        <v/>
      </c>
      <c r="J140" s="22">
        <f>IF(AND(ISNUMBER(I140),ISNUMBER(F140)),I140-F140,"")</f>
        <v/>
      </c>
      <c r="K140" s="23">
        <f>IF(AND(ISNUMBER(I140),ISNUMBER(F140)),IF(I140=0,"",(I140-F140)/I140),"")</f>
        <v/>
      </c>
      <c r="L140" s="22" t="n"/>
      <c r="M140" s="24">
        <f>IF(AND(ISNUMBER(I140),ISNUMBER(L140)),I140-L140,"")</f>
        <v/>
      </c>
      <c r="N140" s="25">
        <f>IF(AND(C140="",E140=""),"",IF(AND(H140&lt;&gt;"",NOT(ISNUMBER(H140))),"Cek Harga Manual",IF(AND(F140="-",NOT(ISNUMBER(H140))),"Isi Harga Manual",IF(F140="-","HPP akan dihapus",IF(AND(F140&lt;&gt;"",NOT(ISNUMBER(F140))),"Cek HPP",IF(AND(ISNUMBER(G140),OR(G140&lt;0,G140&gt;20)),"Cek Markup",IF(NOT(ISNUMBER(I140)),"Harga belum ada",IF(F140="","HPP kosong",IF(F140=0,"HPP 0, cek",IF(I140&lt;=F140,"RUGI / impas",IF(NOT(ISNUMBER(L140)),"Baru",IF(M140=0,"OK",IF(ABS(M140)&gt;=0.3*L140,"Berubah besar","Harga berubah")))))))))))))</f>
        <v/>
      </c>
      <c r="O140" s="18" t="n"/>
      <c r="P140" s="18" t="n"/>
      <c r="Q140" s="26" t="n"/>
    </row>
    <row r="141">
      <c r="A141" s="17" t="n"/>
      <c r="B141" s="18" t="n"/>
      <c r="C141" s="19" t="n"/>
      <c r="D141" s="19" t="n"/>
      <c r="E141" s="19" t="n"/>
      <c r="F141" s="20" t="n"/>
      <c r="G141" s="21" t="n"/>
      <c r="H141" s="20" t="n"/>
      <c r="I141" s="22">
        <f>IF(ISNUMBER(H141),H141,IF(AND(ISNUMBER(F141),ISNUMBER(G141)),CEILING(ROUND(F141*(1+G141),2),1000),""))</f>
        <v/>
      </c>
      <c r="J141" s="22">
        <f>IF(AND(ISNUMBER(I141),ISNUMBER(F141)),I141-F141,"")</f>
        <v/>
      </c>
      <c r="K141" s="23">
        <f>IF(AND(ISNUMBER(I141),ISNUMBER(F141)),IF(I141=0,"",(I141-F141)/I141),"")</f>
        <v/>
      </c>
      <c r="L141" s="22" t="n"/>
      <c r="M141" s="24">
        <f>IF(AND(ISNUMBER(I141),ISNUMBER(L141)),I141-L141,"")</f>
        <v/>
      </c>
      <c r="N141" s="25">
        <f>IF(AND(C141="",E141=""),"",IF(AND(H141&lt;&gt;"",NOT(ISNUMBER(H141))),"Cek Harga Manual",IF(AND(F141="-",NOT(ISNUMBER(H141))),"Isi Harga Manual",IF(F141="-","HPP akan dihapus",IF(AND(F141&lt;&gt;"",NOT(ISNUMBER(F141))),"Cek HPP",IF(AND(ISNUMBER(G141),OR(G141&lt;0,G141&gt;20)),"Cek Markup",IF(NOT(ISNUMBER(I141)),"Harga belum ada",IF(F141="","HPP kosong",IF(F141=0,"HPP 0, cek",IF(I141&lt;=F141,"RUGI / impas",IF(NOT(ISNUMBER(L141)),"Baru",IF(M141=0,"OK",IF(ABS(M141)&gt;=0.3*L141,"Berubah besar","Harga berubah")))))))))))))</f>
        <v/>
      </c>
      <c r="O141" s="18" t="n"/>
      <c r="P141" s="18" t="n"/>
      <c r="Q141" s="26" t="n"/>
    </row>
    <row r="142">
      <c r="A142" s="17" t="n"/>
      <c r="B142" s="18" t="n"/>
      <c r="C142" s="19" t="n"/>
      <c r="D142" s="19" t="n"/>
      <c r="E142" s="19" t="n"/>
      <c r="F142" s="20" t="n"/>
      <c r="G142" s="21" t="n"/>
      <c r="H142" s="20" t="n"/>
      <c r="I142" s="22">
        <f>IF(ISNUMBER(H142),H142,IF(AND(ISNUMBER(F142),ISNUMBER(G142)),CEILING(ROUND(F142*(1+G142),2),1000),""))</f>
        <v/>
      </c>
      <c r="J142" s="22">
        <f>IF(AND(ISNUMBER(I142),ISNUMBER(F142)),I142-F142,"")</f>
        <v/>
      </c>
      <c r="K142" s="23">
        <f>IF(AND(ISNUMBER(I142),ISNUMBER(F142)),IF(I142=0,"",(I142-F142)/I142),"")</f>
        <v/>
      </c>
      <c r="L142" s="22" t="n"/>
      <c r="M142" s="24">
        <f>IF(AND(ISNUMBER(I142),ISNUMBER(L142)),I142-L142,"")</f>
        <v/>
      </c>
      <c r="N142" s="25">
        <f>IF(AND(C142="",E142=""),"",IF(AND(H142&lt;&gt;"",NOT(ISNUMBER(H142))),"Cek Harga Manual",IF(AND(F142="-",NOT(ISNUMBER(H142))),"Isi Harga Manual",IF(F142="-","HPP akan dihapus",IF(AND(F142&lt;&gt;"",NOT(ISNUMBER(F142))),"Cek HPP",IF(AND(ISNUMBER(G142),OR(G142&lt;0,G142&gt;20)),"Cek Markup",IF(NOT(ISNUMBER(I142)),"Harga belum ada",IF(F142="","HPP kosong",IF(F142=0,"HPP 0, cek",IF(I142&lt;=F142,"RUGI / impas",IF(NOT(ISNUMBER(L142)),"Baru",IF(M142=0,"OK",IF(ABS(M142)&gt;=0.3*L142,"Berubah besar","Harga berubah")))))))))))))</f>
        <v/>
      </c>
      <c r="O142" s="18" t="n"/>
      <c r="P142" s="18" t="n"/>
      <c r="Q142" s="26" t="n"/>
    </row>
    <row r="143">
      <c r="A143" s="17" t="n"/>
      <c r="B143" s="18" t="n"/>
      <c r="C143" s="19" t="n"/>
      <c r="D143" s="19" t="n"/>
      <c r="E143" s="19" t="n"/>
      <c r="F143" s="20" t="n"/>
      <c r="G143" s="21" t="n"/>
      <c r="H143" s="20" t="n"/>
      <c r="I143" s="22">
        <f>IF(ISNUMBER(H143),H143,IF(AND(ISNUMBER(F143),ISNUMBER(G143)),CEILING(ROUND(F143*(1+G143),2),1000),""))</f>
        <v/>
      </c>
      <c r="J143" s="22">
        <f>IF(AND(ISNUMBER(I143),ISNUMBER(F143)),I143-F143,"")</f>
        <v/>
      </c>
      <c r="K143" s="23">
        <f>IF(AND(ISNUMBER(I143),ISNUMBER(F143)),IF(I143=0,"",(I143-F143)/I143),"")</f>
        <v/>
      </c>
      <c r="L143" s="22" t="n"/>
      <c r="M143" s="24">
        <f>IF(AND(ISNUMBER(I143),ISNUMBER(L143)),I143-L143,"")</f>
        <v/>
      </c>
      <c r="N143" s="25">
        <f>IF(AND(C143="",E143=""),"",IF(AND(H143&lt;&gt;"",NOT(ISNUMBER(H143))),"Cek Harga Manual",IF(AND(F143="-",NOT(ISNUMBER(H143))),"Isi Harga Manual",IF(F143="-","HPP akan dihapus",IF(AND(F143&lt;&gt;"",NOT(ISNUMBER(F143))),"Cek HPP",IF(AND(ISNUMBER(G143),OR(G143&lt;0,G143&gt;20)),"Cek Markup",IF(NOT(ISNUMBER(I143)),"Harga belum ada",IF(F143="","HPP kosong",IF(F143=0,"HPP 0, cek",IF(I143&lt;=F143,"RUGI / impas",IF(NOT(ISNUMBER(L143)),"Baru",IF(M143=0,"OK",IF(ABS(M143)&gt;=0.3*L143,"Berubah besar","Harga berubah")))))))))))))</f>
        <v/>
      </c>
      <c r="O143" s="18" t="n"/>
      <c r="P143" s="18" t="n"/>
      <c r="Q143" s="26" t="n"/>
    </row>
    <row r="144">
      <c r="A144" s="17" t="n"/>
      <c r="B144" s="18" t="n"/>
      <c r="C144" s="19" t="n"/>
      <c r="D144" s="19" t="n"/>
      <c r="E144" s="19" t="n"/>
      <c r="F144" s="20" t="n"/>
      <c r="G144" s="21" t="n"/>
      <c r="H144" s="20" t="n"/>
      <c r="I144" s="22">
        <f>IF(ISNUMBER(H144),H144,IF(AND(ISNUMBER(F144),ISNUMBER(G144)),CEILING(ROUND(F144*(1+G144),2),1000),""))</f>
        <v/>
      </c>
      <c r="J144" s="22">
        <f>IF(AND(ISNUMBER(I144),ISNUMBER(F144)),I144-F144,"")</f>
        <v/>
      </c>
      <c r="K144" s="23">
        <f>IF(AND(ISNUMBER(I144),ISNUMBER(F144)),IF(I144=0,"",(I144-F144)/I144),"")</f>
        <v/>
      </c>
      <c r="L144" s="22" t="n"/>
      <c r="M144" s="24">
        <f>IF(AND(ISNUMBER(I144),ISNUMBER(L144)),I144-L144,"")</f>
        <v/>
      </c>
      <c r="N144" s="25">
        <f>IF(AND(C144="",E144=""),"",IF(AND(H144&lt;&gt;"",NOT(ISNUMBER(H144))),"Cek Harga Manual",IF(AND(F144="-",NOT(ISNUMBER(H144))),"Isi Harga Manual",IF(F144="-","HPP akan dihapus",IF(AND(F144&lt;&gt;"",NOT(ISNUMBER(F144))),"Cek HPP",IF(AND(ISNUMBER(G144),OR(G144&lt;0,G144&gt;20)),"Cek Markup",IF(NOT(ISNUMBER(I144)),"Harga belum ada",IF(F144="","HPP kosong",IF(F144=0,"HPP 0, cek",IF(I144&lt;=F144,"RUGI / impas",IF(NOT(ISNUMBER(L144)),"Baru",IF(M144=0,"OK",IF(ABS(M144)&gt;=0.3*L144,"Berubah besar","Harga berubah")))))))))))))</f>
        <v/>
      </c>
      <c r="O144" s="18" t="n"/>
      <c r="P144" s="18" t="n"/>
      <c r="Q144" s="26" t="n"/>
    </row>
    <row r="145">
      <c r="A145" s="17" t="n"/>
      <c r="B145" s="18" t="n"/>
      <c r="C145" s="19" t="n"/>
      <c r="D145" s="19" t="n"/>
      <c r="E145" s="19" t="n"/>
      <c r="F145" s="20" t="n"/>
      <c r="G145" s="21" t="n"/>
      <c r="H145" s="20" t="n"/>
      <c r="I145" s="22">
        <f>IF(ISNUMBER(H145),H145,IF(AND(ISNUMBER(F145),ISNUMBER(G145)),CEILING(ROUND(F145*(1+G145),2),1000),""))</f>
        <v/>
      </c>
      <c r="J145" s="22">
        <f>IF(AND(ISNUMBER(I145),ISNUMBER(F145)),I145-F145,"")</f>
        <v/>
      </c>
      <c r="K145" s="23">
        <f>IF(AND(ISNUMBER(I145),ISNUMBER(F145)),IF(I145=0,"",(I145-F145)/I145),"")</f>
        <v/>
      </c>
      <c r="L145" s="22" t="n"/>
      <c r="M145" s="24">
        <f>IF(AND(ISNUMBER(I145),ISNUMBER(L145)),I145-L145,"")</f>
        <v/>
      </c>
      <c r="N145" s="25">
        <f>IF(AND(C145="",E145=""),"",IF(AND(H145&lt;&gt;"",NOT(ISNUMBER(H145))),"Cek Harga Manual",IF(AND(F145="-",NOT(ISNUMBER(H145))),"Isi Harga Manual",IF(F145="-","HPP akan dihapus",IF(AND(F145&lt;&gt;"",NOT(ISNUMBER(F145))),"Cek HPP",IF(AND(ISNUMBER(G145),OR(G145&lt;0,G145&gt;20)),"Cek Markup",IF(NOT(ISNUMBER(I145)),"Harga belum ada",IF(F145="","HPP kosong",IF(F145=0,"HPP 0, cek",IF(I145&lt;=F145,"RUGI / impas",IF(NOT(ISNUMBER(L145)),"Baru",IF(M145=0,"OK",IF(ABS(M145)&gt;=0.3*L145,"Berubah besar","Harga berubah")))))))))))))</f>
        <v/>
      </c>
      <c r="O145" s="18" t="n"/>
      <c r="P145" s="18" t="n"/>
      <c r="Q145" s="26" t="n"/>
    </row>
    <row r="146">
      <c r="A146" s="17" t="n"/>
      <c r="B146" s="18" t="n"/>
      <c r="C146" s="19" t="n"/>
      <c r="D146" s="19" t="n"/>
      <c r="E146" s="19" t="n"/>
      <c r="F146" s="20" t="n"/>
      <c r="G146" s="21" t="n"/>
      <c r="H146" s="20" t="n"/>
      <c r="I146" s="22">
        <f>IF(ISNUMBER(H146),H146,IF(AND(ISNUMBER(F146),ISNUMBER(G146)),CEILING(ROUND(F146*(1+G146),2),1000),""))</f>
        <v/>
      </c>
      <c r="J146" s="22">
        <f>IF(AND(ISNUMBER(I146),ISNUMBER(F146)),I146-F146,"")</f>
        <v/>
      </c>
      <c r="K146" s="23">
        <f>IF(AND(ISNUMBER(I146),ISNUMBER(F146)),IF(I146=0,"",(I146-F146)/I146),"")</f>
        <v/>
      </c>
      <c r="L146" s="22" t="n"/>
      <c r="M146" s="24">
        <f>IF(AND(ISNUMBER(I146),ISNUMBER(L146)),I146-L146,"")</f>
        <v/>
      </c>
      <c r="N146" s="25">
        <f>IF(AND(C146="",E146=""),"",IF(AND(H146&lt;&gt;"",NOT(ISNUMBER(H146))),"Cek Harga Manual",IF(AND(F146="-",NOT(ISNUMBER(H146))),"Isi Harga Manual",IF(F146="-","HPP akan dihapus",IF(AND(F146&lt;&gt;"",NOT(ISNUMBER(F146))),"Cek HPP",IF(AND(ISNUMBER(G146),OR(G146&lt;0,G146&gt;20)),"Cek Markup",IF(NOT(ISNUMBER(I146)),"Harga belum ada",IF(F146="","HPP kosong",IF(F146=0,"HPP 0, cek",IF(I146&lt;=F146,"RUGI / impas",IF(NOT(ISNUMBER(L146)),"Baru",IF(M146=0,"OK",IF(ABS(M146)&gt;=0.3*L146,"Berubah besar","Harga berubah")))))))))))))</f>
        <v/>
      </c>
      <c r="O146" s="18" t="n"/>
      <c r="P146" s="18" t="n"/>
      <c r="Q146" s="26" t="n"/>
    </row>
    <row r="147">
      <c r="A147" s="17" t="n"/>
      <c r="B147" s="18" t="n"/>
      <c r="C147" s="19" t="n"/>
      <c r="D147" s="19" t="n"/>
      <c r="E147" s="19" t="n"/>
      <c r="F147" s="20" t="n"/>
      <c r="G147" s="21" t="n"/>
      <c r="H147" s="20" t="n"/>
      <c r="I147" s="22">
        <f>IF(ISNUMBER(H147),H147,IF(AND(ISNUMBER(F147),ISNUMBER(G147)),CEILING(ROUND(F147*(1+G147),2),1000),""))</f>
        <v/>
      </c>
      <c r="J147" s="22">
        <f>IF(AND(ISNUMBER(I147),ISNUMBER(F147)),I147-F147,"")</f>
        <v/>
      </c>
      <c r="K147" s="23">
        <f>IF(AND(ISNUMBER(I147),ISNUMBER(F147)),IF(I147=0,"",(I147-F147)/I147),"")</f>
        <v/>
      </c>
      <c r="L147" s="22" t="n"/>
      <c r="M147" s="24">
        <f>IF(AND(ISNUMBER(I147),ISNUMBER(L147)),I147-L147,"")</f>
        <v/>
      </c>
      <c r="N147" s="25">
        <f>IF(AND(C147="",E147=""),"",IF(AND(H147&lt;&gt;"",NOT(ISNUMBER(H147))),"Cek Harga Manual",IF(AND(F147="-",NOT(ISNUMBER(H147))),"Isi Harga Manual",IF(F147="-","HPP akan dihapus",IF(AND(F147&lt;&gt;"",NOT(ISNUMBER(F147))),"Cek HPP",IF(AND(ISNUMBER(G147),OR(G147&lt;0,G147&gt;20)),"Cek Markup",IF(NOT(ISNUMBER(I147)),"Harga belum ada",IF(F147="","HPP kosong",IF(F147=0,"HPP 0, cek",IF(I147&lt;=F147,"RUGI / impas",IF(NOT(ISNUMBER(L147)),"Baru",IF(M147=0,"OK",IF(ABS(M147)&gt;=0.3*L147,"Berubah besar","Harga berubah")))))))))))))</f>
        <v/>
      </c>
      <c r="O147" s="18" t="n"/>
      <c r="P147" s="18" t="n"/>
      <c r="Q147" s="26" t="n"/>
    </row>
    <row r="148">
      <c r="A148" s="17" t="n"/>
      <c r="B148" s="18" t="n"/>
      <c r="C148" s="19" t="n"/>
      <c r="D148" s="19" t="n"/>
      <c r="E148" s="19" t="n"/>
      <c r="F148" s="20" t="n"/>
      <c r="G148" s="21" t="n"/>
      <c r="H148" s="20" t="n"/>
      <c r="I148" s="22">
        <f>IF(ISNUMBER(H148),H148,IF(AND(ISNUMBER(F148),ISNUMBER(G148)),CEILING(ROUND(F148*(1+G148),2),1000),""))</f>
        <v/>
      </c>
      <c r="J148" s="22">
        <f>IF(AND(ISNUMBER(I148),ISNUMBER(F148)),I148-F148,"")</f>
        <v/>
      </c>
      <c r="K148" s="23">
        <f>IF(AND(ISNUMBER(I148),ISNUMBER(F148)),IF(I148=0,"",(I148-F148)/I148),"")</f>
        <v/>
      </c>
      <c r="L148" s="22" t="n"/>
      <c r="M148" s="24">
        <f>IF(AND(ISNUMBER(I148),ISNUMBER(L148)),I148-L148,"")</f>
        <v/>
      </c>
      <c r="N148" s="25">
        <f>IF(AND(C148="",E148=""),"",IF(AND(H148&lt;&gt;"",NOT(ISNUMBER(H148))),"Cek Harga Manual",IF(AND(F148="-",NOT(ISNUMBER(H148))),"Isi Harga Manual",IF(F148="-","HPP akan dihapus",IF(AND(F148&lt;&gt;"",NOT(ISNUMBER(F148))),"Cek HPP",IF(AND(ISNUMBER(G148),OR(G148&lt;0,G148&gt;20)),"Cek Markup",IF(NOT(ISNUMBER(I148)),"Harga belum ada",IF(F148="","HPP kosong",IF(F148=0,"HPP 0, cek",IF(I148&lt;=F148,"RUGI / impas",IF(NOT(ISNUMBER(L148)),"Baru",IF(M148=0,"OK",IF(ABS(M148)&gt;=0.3*L148,"Berubah besar","Harga berubah")))))))))))))</f>
        <v/>
      </c>
      <c r="O148" s="18" t="n"/>
      <c r="P148" s="18" t="n"/>
      <c r="Q148" s="26" t="n"/>
    </row>
    <row r="149">
      <c r="A149" s="17" t="n"/>
      <c r="B149" s="18" t="n"/>
      <c r="C149" s="19" t="n"/>
      <c r="D149" s="19" t="n"/>
      <c r="E149" s="19" t="n"/>
      <c r="F149" s="20" t="n"/>
      <c r="G149" s="21" t="n"/>
      <c r="H149" s="20" t="n"/>
      <c r="I149" s="22">
        <f>IF(ISNUMBER(H149),H149,IF(AND(ISNUMBER(F149),ISNUMBER(G149)),CEILING(ROUND(F149*(1+G149),2),1000),""))</f>
        <v/>
      </c>
      <c r="J149" s="22">
        <f>IF(AND(ISNUMBER(I149),ISNUMBER(F149)),I149-F149,"")</f>
        <v/>
      </c>
      <c r="K149" s="23">
        <f>IF(AND(ISNUMBER(I149),ISNUMBER(F149)),IF(I149=0,"",(I149-F149)/I149),"")</f>
        <v/>
      </c>
      <c r="L149" s="22" t="n"/>
      <c r="M149" s="24">
        <f>IF(AND(ISNUMBER(I149),ISNUMBER(L149)),I149-L149,"")</f>
        <v/>
      </c>
      <c r="N149" s="25">
        <f>IF(AND(C149="",E149=""),"",IF(AND(H149&lt;&gt;"",NOT(ISNUMBER(H149))),"Cek Harga Manual",IF(AND(F149="-",NOT(ISNUMBER(H149))),"Isi Harga Manual",IF(F149="-","HPP akan dihapus",IF(AND(F149&lt;&gt;"",NOT(ISNUMBER(F149))),"Cek HPP",IF(AND(ISNUMBER(G149),OR(G149&lt;0,G149&gt;20)),"Cek Markup",IF(NOT(ISNUMBER(I149)),"Harga belum ada",IF(F149="","HPP kosong",IF(F149=0,"HPP 0, cek",IF(I149&lt;=F149,"RUGI / impas",IF(NOT(ISNUMBER(L149)),"Baru",IF(M149=0,"OK",IF(ABS(M149)&gt;=0.3*L149,"Berubah besar","Harga berubah")))))))))))))</f>
        <v/>
      </c>
      <c r="O149" s="18" t="n"/>
      <c r="P149" s="18" t="n"/>
      <c r="Q149" s="26" t="n"/>
    </row>
    <row r="150">
      <c r="A150" s="17" t="n"/>
      <c r="B150" s="18" t="n"/>
      <c r="C150" s="19" t="n"/>
      <c r="D150" s="19" t="n"/>
      <c r="E150" s="19" t="n"/>
      <c r="F150" s="20" t="n"/>
      <c r="G150" s="21" t="n"/>
      <c r="H150" s="20" t="n"/>
      <c r="I150" s="22">
        <f>IF(ISNUMBER(H150),H150,IF(AND(ISNUMBER(F150),ISNUMBER(G150)),CEILING(ROUND(F150*(1+G150),2),1000),""))</f>
        <v/>
      </c>
      <c r="J150" s="22">
        <f>IF(AND(ISNUMBER(I150),ISNUMBER(F150)),I150-F150,"")</f>
        <v/>
      </c>
      <c r="K150" s="23">
        <f>IF(AND(ISNUMBER(I150),ISNUMBER(F150)),IF(I150=0,"",(I150-F150)/I150),"")</f>
        <v/>
      </c>
      <c r="L150" s="22" t="n"/>
      <c r="M150" s="24">
        <f>IF(AND(ISNUMBER(I150),ISNUMBER(L150)),I150-L150,"")</f>
        <v/>
      </c>
      <c r="N150" s="25">
        <f>IF(AND(C150="",E150=""),"",IF(AND(H150&lt;&gt;"",NOT(ISNUMBER(H150))),"Cek Harga Manual",IF(AND(F150="-",NOT(ISNUMBER(H150))),"Isi Harga Manual",IF(F150="-","HPP akan dihapus",IF(AND(F150&lt;&gt;"",NOT(ISNUMBER(F150))),"Cek HPP",IF(AND(ISNUMBER(G150),OR(G150&lt;0,G150&gt;20)),"Cek Markup",IF(NOT(ISNUMBER(I150)),"Harga belum ada",IF(F150="","HPP kosong",IF(F150=0,"HPP 0, cek",IF(I150&lt;=F150,"RUGI / impas",IF(NOT(ISNUMBER(L150)),"Baru",IF(M150=0,"OK",IF(ABS(M150)&gt;=0.3*L150,"Berubah besar","Harga berubah")))))))))))))</f>
        <v/>
      </c>
      <c r="O150" s="18" t="n"/>
      <c r="P150" s="18" t="n"/>
      <c r="Q150" s="26" t="n"/>
    </row>
    <row r="151">
      <c r="A151" s="17" t="n"/>
      <c r="B151" s="18" t="n"/>
      <c r="C151" s="19" t="n"/>
      <c r="D151" s="19" t="n"/>
      <c r="E151" s="19" t="n"/>
      <c r="F151" s="20" t="n"/>
      <c r="G151" s="21" t="n"/>
      <c r="H151" s="20" t="n"/>
      <c r="I151" s="22">
        <f>IF(ISNUMBER(H151),H151,IF(AND(ISNUMBER(F151),ISNUMBER(G151)),CEILING(ROUND(F151*(1+G151),2),1000),""))</f>
        <v/>
      </c>
      <c r="J151" s="22">
        <f>IF(AND(ISNUMBER(I151),ISNUMBER(F151)),I151-F151,"")</f>
        <v/>
      </c>
      <c r="K151" s="23">
        <f>IF(AND(ISNUMBER(I151),ISNUMBER(F151)),IF(I151=0,"",(I151-F151)/I151),"")</f>
        <v/>
      </c>
      <c r="L151" s="22" t="n"/>
      <c r="M151" s="24">
        <f>IF(AND(ISNUMBER(I151),ISNUMBER(L151)),I151-L151,"")</f>
        <v/>
      </c>
      <c r="N151" s="25">
        <f>IF(AND(C151="",E151=""),"",IF(AND(H151&lt;&gt;"",NOT(ISNUMBER(H151))),"Cek Harga Manual",IF(AND(F151="-",NOT(ISNUMBER(H151))),"Isi Harga Manual",IF(F151="-","HPP akan dihapus",IF(AND(F151&lt;&gt;"",NOT(ISNUMBER(F151))),"Cek HPP",IF(AND(ISNUMBER(G151),OR(G151&lt;0,G151&gt;20)),"Cek Markup",IF(NOT(ISNUMBER(I151)),"Harga belum ada",IF(F151="","HPP kosong",IF(F151=0,"HPP 0, cek",IF(I151&lt;=F151,"RUGI / impas",IF(NOT(ISNUMBER(L151)),"Baru",IF(M151=0,"OK",IF(ABS(M151)&gt;=0.3*L151,"Berubah besar","Harga berubah")))))))))))))</f>
        <v/>
      </c>
      <c r="O151" s="18" t="n"/>
      <c r="P151" s="18" t="n"/>
      <c r="Q151" s="26" t="n"/>
    </row>
    <row r="152">
      <c r="A152" s="17" t="n"/>
      <c r="B152" s="18" t="n"/>
      <c r="C152" s="19" t="n"/>
      <c r="D152" s="19" t="n"/>
      <c r="E152" s="19" t="n"/>
      <c r="F152" s="20" t="n"/>
      <c r="G152" s="21" t="n"/>
      <c r="H152" s="20" t="n"/>
      <c r="I152" s="22">
        <f>IF(ISNUMBER(H152),H152,IF(AND(ISNUMBER(F152),ISNUMBER(G152)),CEILING(ROUND(F152*(1+G152),2),1000),""))</f>
        <v/>
      </c>
      <c r="J152" s="22">
        <f>IF(AND(ISNUMBER(I152),ISNUMBER(F152)),I152-F152,"")</f>
        <v/>
      </c>
      <c r="K152" s="23">
        <f>IF(AND(ISNUMBER(I152),ISNUMBER(F152)),IF(I152=0,"",(I152-F152)/I152),"")</f>
        <v/>
      </c>
      <c r="L152" s="22" t="n"/>
      <c r="M152" s="24">
        <f>IF(AND(ISNUMBER(I152),ISNUMBER(L152)),I152-L152,"")</f>
        <v/>
      </c>
      <c r="N152" s="25">
        <f>IF(AND(C152="",E152=""),"",IF(AND(H152&lt;&gt;"",NOT(ISNUMBER(H152))),"Cek Harga Manual",IF(AND(F152="-",NOT(ISNUMBER(H152))),"Isi Harga Manual",IF(F152="-","HPP akan dihapus",IF(AND(F152&lt;&gt;"",NOT(ISNUMBER(F152))),"Cek HPP",IF(AND(ISNUMBER(G152),OR(G152&lt;0,G152&gt;20)),"Cek Markup",IF(NOT(ISNUMBER(I152)),"Harga belum ada",IF(F152="","HPP kosong",IF(F152=0,"HPP 0, cek",IF(I152&lt;=F152,"RUGI / impas",IF(NOT(ISNUMBER(L152)),"Baru",IF(M152=0,"OK",IF(ABS(M152)&gt;=0.3*L152,"Berubah besar","Harga berubah")))))))))))))</f>
        <v/>
      </c>
      <c r="O152" s="18" t="n"/>
      <c r="P152" s="18" t="n"/>
      <c r="Q152" s="26" t="n"/>
    </row>
    <row r="153">
      <c r="A153" s="17" t="n"/>
      <c r="B153" s="18" t="n"/>
      <c r="C153" s="19" t="n"/>
      <c r="D153" s="19" t="n"/>
      <c r="E153" s="19" t="n"/>
      <c r="F153" s="20" t="n"/>
      <c r="G153" s="21" t="n"/>
      <c r="H153" s="20" t="n"/>
      <c r="I153" s="22">
        <f>IF(ISNUMBER(H153),H153,IF(AND(ISNUMBER(F153),ISNUMBER(G153)),CEILING(ROUND(F153*(1+G153),2),1000),""))</f>
        <v/>
      </c>
      <c r="J153" s="22">
        <f>IF(AND(ISNUMBER(I153),ISNUMBER(F153)),I153-F153,"")</f>
        <v/>
      </c>
      <c r="K153" s="23">
        <f>IF(AND(ISNUMBER(I153),ISNUMBER(F153)),IF(I153=0,"",(I153-F153)/I153),"")</f>
        <v/>
      </c>
      <c r="L153" s="22" t="n"/>
      <c r="M153" s="24">
        <f>IF(AND(ISNUMBER(I153),ISNUMBER(L153)),I153-L153,"")</f>
        <v/>
      </c>
      <c r="N153" s="25">
        <f>IF(AND(C153="",E153=""),"",IF(AND(H153&lt;&gt;"",NOT(ISNUMBER(H153))),"Cek Harga Manual",IF(AND(F153="-",NOT(ISNUMBER(H153))),"Isi Harga Manual",IF(F153="-","HPP akan dihapus",IF(AND(F153&lt;&gt;"",NOT(ISNUMBER(F153))),"Cek HPP",IF(AND(ISNUMBER(G153),OR(G153&lt;0,G153&gt;20)),"Cek Markup",IF(NOT(ISNUMBER(I153)),"Harga belum ada",IF(F153="","HPP kosong",IF(F153=0,"HPP 0, cek",IF(I153&lt;=F153,"RUGI / impas",IF(NOT(ISNUMBER(L153)),"Baru",IF(M153=0,"OK",IF(ABS(M153)&gt;=0.3*L153,"Berubah besar","Harga berubah")))))))))))))</f>
        <v/>
      </c>
      <c r="O153" s="18" t="n"/>
      <c r="P153" s="18" t="n"/>
      <c r="Q153" s="26" t="n"/>
    </row>
    <row r="154">
      <c r="A154" s="17" t="n"/>
      <c r="B154" s="18" t="n"/>
      <c r="C154" s="19" t="n"/>
      <c r="D154" s="19" t="n"/>
      <c r="E154" s="19" t="n"/>
      <c r="F154" s="20" t="n"/>
      <c r="G154" s="21" t="n"/>
      <c r="H154" s="20" t="n"/>
      <c r="I154" s="22">
        <f>IF(ISNUMBER(H154),H154,IF(AND(ISNUMBER(F154),ISNUMBER(G154)),CEILING(ROUND(F154*(1+G154),2),1000),""))</f>
        <v/>
      </c>
      <c r="J154" s="22">
        <f>IF(AND(ISNUMBER(I154),ISNUMBER(F154)),I154-F154,"")</f>
        <v/>
      </c>
      <c r="K154" s="23">
        <f>IF(AND(ISNUMBER(I154),ISNUMBER(F154)),IF(I154=0,"",(I154-F154)/I154),"")</f>
        <v/>
      </c>
      <c r="L154" s="22" t="n"/>
      <c r="M154" s="24">
        <f>IF(AND(ISNUMBER(I154),ISNUMBER(L154)),I154-L154,"")</f>
        <v/>
      </c>
      <c r="N154" s="25">
        <f>IF(AND(C154="",E154=""),"",IF(AND(H154&lt;&gt;"",NOT(ISNUMBER(H154))),"Cek Harga Manual",IF(AND(F154="-",NOT(ISNUMBER(H154))),"Isi Harga Manual",IF(F154="-","HPP akan dihapus",IF(AND(F154&lt;&gt;"",NOT(ISNUMBER(F154))),"Cek HPP",IF(AND(ISNUMBER(G154),OR(G154&lt;0,G154&gt;20)),"Cek Markup",IF(NOT(ISNUMBER(I154)),"Harga belum ada",IF(F154="","HPP kosong",IF(F154=0,"HPP 0, cek",IF(I154&lt;=F154,"RUGI / impas",IF(NOT(ISNUMBER(L154)),"Baru",IF(M154=0,"OK",IF(ABS(M154)&gt;=0.3*L154,"Berubah besar","Harga berubah")))))))))))))</f>
        <v/>
      </c>
      <c r="O154" s="18" t="n"/>
      <c r="P154" s="18" t="n"/>
      <c r="Q154" s="26" t="n"/>
    </row>
    <row r="155">
      <c r="A155" s="17" t="n"/>
      <c r="B155" s="18" t="n"/>
      <c r="C155" s="19" t="n"/>
      <c r="D155" s="19" t="n"/>
      <c r="E155" s="19" t="n"/>
      <c r="F155" s="20" t="n"/>
      <c r="G155" s="21" t="n"/>
      <c r="H155" s="20" t="n"/>
      <c r="I155" s="22">
        <f>IF(ISNUMBER(H155),H155,IF(AND(ISNUMBER(F155),ISNUMBER(G155)),CEILING(ROUND(F155*(1+G155),2),1000),""))</f>
        <v/>
      </c>
      <c r="J155" s="22">
        <f>IF(AND(ISNUMBER(I155),ISNUMBER(F155)),I155-F155,"")</f>
        <v/>
      </c>
      <c r="K155" s="23">
        <f>IF(AND(ISNUMBER(I155),ISNUMBER(F155)),IF(I155=0,"",(I155-F155)/I155),"")</f>
        <v/>
      </c>
      <c r="L155" s="22" t="n"/>
      <c r="M155" s="24">
        <f>IF(AND(ISNUMBER(I155),ISNUMBER(L155)),I155-L155,"")</f>
        <v/>
      </c>
      <c r="N155" s="25">
        <f>IF(AND(C155="",E155=""),"",IF(AND(H155&lt;&gt;"",NOT(ISNUMBER(H155))),"Cek Harga Manual",IF(AND(F155="-",NOT(ISNUMBER(H155))),"Isi Harga Manual",IF(F155="-","HPP akan dihapus",IF(AND(F155&lt;&gt;"",NOT(ISNUMBER(F155))),"Cek HPP",IF(AND(ISNUMBER(G155),OR(G155&lt;0,G155&gt;20)),"Cek Markup",IF(NOT(ISNUMBER(I155)),"Harga belum ada",IF(F155="","HPP kosong",IF(F155=0,"HPP 0, cek",IF(I155&lt;=F155,"RUGI / impas",IF(NOT(ISNUMBER(L155)),"Baru",IF(M155=0,"OK",IF(ABS(M155)&gt;=0.3*L155,"Berubah besar","Harga berubah")))))))))))))</f>
        <v/>
      </c>
      <c r="O155" s="18" t="n"/>
      <c r="P155" s="18" t="n"/>
      <c r="Q155" s="26" t="n"/>
    </row>
    <row r="156">
      <c r="A156" s="17" t="n"/>
      <c r="B156" s="18" t="n"/>
      <c r="C156" s="19" t="n"/>
      <c r="D156" s="19" t="n"/>
      <c r="E156" s="19" t="n"/>
      <c r="F156" s="20" t="n"/>
      <c r="G156" s="21" t="n"/>
      <c r="H156" s="20" t="n"/>
      <c r="I156" s="22">
        <f>IF(ISNUMBER(H156),H156,IF(AND(ISNUMBER(F156),ISNUMBER(G156)),CEILING(ROUND(F156*(1+G156),2),1000),""))</f>
        <v/>
      </c>
      <c r="J156" s="22">
        <f>IF(AND(ISNUMBER(I156),ISNUMBER(F156)),I156-F156,"")</f>
        <v/>
      </c>
      <c r="K156" s="23">
        <f>IF(AND(ISNUMBER(I156),ISNUMBER(F156)),IF(I156=0,"",(I156-F156)/I156),"")</f>
        <v/>
      </c>
      <c r="L156" s="22" t="n"/>
      <c r="M156" s="24">
        <f>IF(AND(ISNUMBER(I156),ISNUMBER(L156)),I156-L156,"")</f>
        <v/>
      </c>
      <c r="N156" s="25">
        <f>IF(AND(C156="",E156=""),"",IF(AND(H156&lt;&gt;"",NOT(ISNUMBER(H156))),"Cek Harga Manual",IF(AND(F156="-",NOT(ISNUMBER(H156))),"Isi Harga Manual",IF(F156="-","HPP akan dihapus",IF(AND(F156&lt;&gt;"",NOT(ISNUMBER(F156))),"Cek HPP",IF(AND(ISNUMBER(G156),OR(G156&lt;0,G156&gt;20)),"Cek Markup",IF(NOT(ISNUMBER(I156)),"Harga belum ada",IF(F156="","HPP kosong",IF(F156=0,"HPP 0, cek",IF(I156&lt;=F156,"RUGI / impas",IF(NOT(ISNUMBER(L156)),"Baru",IF(M156=0,"OK",IF(ABS(M156)&gt;=0.3*L156,"Berubah besar","Harga berubah")))))))))))))</f>
        <v/>
      </c>
      <c r="O156" s="18" t="n"/>
      <c r="P156" s="18" t="n"/>
      <c r="Q156" s="26" t="n"/>
    </row>
    <row r="157">
      <c r="A157" s="17" t="n"/>
      <c r="B157" s="18" t="n"/>
      <c r="C157" s="19" t="n"/>
      <c r="D157" s="19" t="n"/>
      <c r="E157" s="19" t="n"/>
      <c r="F157" s="20" t="n"/>
      <c r="G157" s="21" t="n"/>
      <c r="H157" s="20" t="n"/>
      <c r="I157" s="22">
        <f>IF(ISNUMBER(H157),H157,IF(AND(ISNUMBER(F157),ISNUMBER(G157)),CEILING(ROUND(F157*(1+G157),2),1000),""))</f>
        <v/>
      </c>
      <c r="J157" s="22">
        <f>IF(AND(ISNUMBER(I157),ISNUMBER(F157)),I157-F157,"")</f>
        <v/>
      </c>
      <c r="K157" s="23">
        <f>IF(AND(ISNUMBER(I157),ISNUMBER(F157)),IF(I157=0,"",(I157-F157)/I157),"")</f>
        <v/>
      </c>
      <c r="L157" s="22" t="n"/>
      <c r="M157" s="24">
        <f>IF(AND(ISNUMBER(I157),ISNUMBER(L157)),I157-L157,"")</f>
        <v/>
      </c>
      <c r="N157" s="25">
        <f>IF(AND(C157="",E157=""),"",IF(AND(H157&lt;&gt;"",NOT(ISNUMBER(H157))),"Cek Harga Manual",IF(AND(F157="-",NOT(ISNUMBER(H157))),"Isi Harga Manual",IF(F157="-","HPP akan dihapus",IF(AND(F157&lt;&gt;"",NOT(ISNUMBER(F157))),"Cek HPP",IF(AND(ISNUMBER(G157),OR(G157&lt;0,G157&gt;20)),"Cek Markup",IF(NOT(ISNUMBER(I157)),"Harga belum ada",IF(F157="","HPP kosong",IF(F157=0,"HPP 0, cek",IF(I157&lt;=F157,"RUGI / impas",IF(NOT(ISNUMBER(L157)),"Baru",IF(M157=0,"OK",IF(ABS(M157)&gt;=0.3*L157,"Berubah besar","Harga berubah")))))))))))))</f>
        <v/>
      </c>
      <c r="O157" s="18" t="n"/>
      <c r="P157" s="18" t="n"/>
      <c r="Q157" s="26" t="n"/>
    </row>
    <row r="158">
      <c r="A158" s="17" t="n"/>
      <c r="B158" s="18" t="n"/>
      <c r="C158" s="19" t="n"/>
      <c r="D158" s="19" t="n"/>
      <c r="E158" s="19" t="n"/>
      <c r="F158" s="20" t="n"/>
      <c r="G158" s="21" t="n"/>
      <c r="H158" s="20" t="n"/>
      <c r="I158" s="22">
        <f>IF(ISNUMBER(H158),H158,IF(AND(ISNUMBER(F158),ISNUMBER(G158)),CEILING(ROUND(F158*(1+G158),2),1000),""))</f>
        <v/>
      </c>
      <c r="J158" s="22">
        <f>IF(AND(ISNUMBER(I158),ISNUMBER(F158)),I158-F158,"")</f>
        <v/>
      </c>
      <c r="K158" s="23">
        <f>IF(AND(ISNUMBER(I158),ISNUMBER(F158)),IF(I158=0,"",(I158-F158)/I158),"")</f>
        <v/>
      </c>
      <c r="L158" s="22" t="n"/>
      <c r="M158" s="24">
        <f>IF(AND(ISNUMBER(I158),ISNUMBER(L158)),I158-L158,"")</f>
        <v/>
      </c>
      <c r="N158" s="25">
        <f>IF(AND(C158="",E158=""),"",IF(AND(H158&lt;&gt;"",NOT(ISNUMBER(H158))),"Cek Harga Manual",IF(AND(F158="-",NOT(ISNUMBER(H158))),"Isi Harga Manual",IF(F158="-","HPP akan dihapus",IF(AND(F158&lt;&gt;"",NOT(ISNUMBER(F158))),"Cek HPP",IF(AND(ISNUMBER(G158),OR(G158&lt;0,G158&gt;20)),"Cek Markup",IF(NOT(ISNUMBER(I158)),"Harga belum ada",IF(F158="","HPP kosong",IF(F158=0,"HPP 0, cek",IF(I158&lt;=F158,"RUGI / impas",IF(NOT(ISNUMBER(L158)),"Baru",IF(M158=0,"OK",IF(ABS(M158)&gt;=0.3*L158,"Berubah besar","Harga berubah")))))))))))))</f>
        <v/>
      </c>
      <c r="O158" s="18" t="n"/>
      <c r="P158" s="18" t="n"/>
      <c r="Q158" s="26" t="n"/>
    </row>
    <row r="159">
      <c r="A159" s="17" t="n"/>
      <c r="B159" s="18" t="n"/>
      <c r="C159" s="19" t="n"/>
      <c r="D159" s="19" t="n"/>
      <c r="E159" s="19" t="n"/>
      <c r="F159" s="20" t="n"/>
      <c r="G159" s="21" t="n"/>
      <c r="H159" s="20" t="n"/>
      <c r="I159" s="22">
        <f>IF(ISNUMBER(H159),H159,IF(AND(ISNUMBER(F159),ISNUMBER(G159)),CEILING(ROUND(F159*(1+G159),2),1000),""))</f>
        <v/>
      </c>
      <c r="J159" s="22">
        <f>IF(AND(ISNUMBER(I159),ISNUMBER(F159)),I159-F159,"")</f>
        <v/>
      </c>
      <c r="K159" s="23">
        <f>IF(AND(ISNUMBER(I159),ISNUMBER(F159)),IF(I159=0,"",(I159-F159)/I159),"")</f>
        <v/>
      </c>
      <c r="L159" s="22" t="n"/>
      <c r="M159" s="24">
        <f>IF(AND(ISNUMBER(I159),ISNUMBER(L159)),I159-L159,"")</f>
        <v/>
      </c>
      <c r="N159" s="25">
        <f>IF(AND(C159="",E159=""),"",IF(AND(H159&lt;&gt;"",NOT(ISNUMBER(H159))),"Cek Harga Manual",IF(AND(F159="-",NOT(ISNUMBER(H159))),"Isi Harga Manual",IF(F159="-","HPP akan dihapus",IF(AND(F159&lt;&gt;"",NOT(ISNUMBER(F159))),"Cek HPP",IF(AND(ISNUMBER(G159),OR(G159&lt;0,G159&gt;20)),"Cek Markup",IF(NOT(ISNUMBER(I159)),"Harga belum ada",IF(F159="","HPP kosong",IF(F159=0,"HPP 0, cek",IF(I159&lt;=F159,"RUGI / impas",IF(NOT(ISNUMBER(L159)),"Baru",IF(M159=0,"OK",IF(ABS(M159)&gt;=0.3*L159,"Berubah besar","Harga berubah")))))))))))))</f>
        <v/>
      </c>
      <c r="O159" s="18" t="n"/>
      <c r="P159" s="18" t="n"/>
      <c r="Q159" s="26" t="n"/>
    </row>
    <row r="160">
      <c r="A160" s="17" t="n"/>
      <c r="B160" s="18" t="n"/>
      <c r="C160" s="19" t="n"/>
      <c r="D160" s="19" t="n"/>
      <c r="E160" s="19" t="n"/>
      <c r="F160" s="20" t="n"/>
      <c r="G160" s="21" t="n"/>
      <c r="H160" s="20" t="n"/>
      <c r="I160" s="22">
        <f>IF(ISNUMBER(H160),H160,IF(AND(ISNUMBER(F160),ISNUMBER(G160)),CEILING(ROUND(F160*(1+G160),2),1000),""))</f>
        <v/>
      </c>
      <c r="J160" s="22">
        <f>IF(AND(ISNUMBER(I160),ISNUMBER(F160)),I160-F160,"")</f>
        <v/>
      </c>
      <c r="K160" s="23">
        <f>IF(AND(ISNUMBER(I160),ISNUMBER(F160)),IF(I160=0,"",(I160-F160)/I160),"")</f>
        <v/>
      </c>
      <c r="L160" s="22" t="n"/>
      <c r="M160" s="24">
        <f>IF(AND(ISNUMBER(I160),ISNUMBER(L160)),I160-L160,"")</f>
        <v/>
      </c>
      <c r="N160" s="25">
        <f>IF(AND(C160="",E160=""),"",IF(AND(H160&lt;&gt;"",NOT(ISNUMBER(H160))),"Cek Harga Manual",IF(AND(F160="-",NOT(ISNUMBER(H160))),"Isi Harga Manual",IF(F160="-","HPP akan dihapus",IF(AND(F160&lt;&gt;"",NOT(ISNUMBER(F160))),"Cek HPP",IF(AND(ISNUMBER(G160),OR(G160&lt;0,G160&gt;20)),"Cek Markup",IF(NOT(ISNUMBER(I160)),"Harga belum ada",IF(F160="","HPP kosong",IF(F160=0,"HPP 0, cek",IF(I160&lt;=F160,"RUGI / impas",IF(NOT(ISNUMBER(L160)),"Baru",IF(M160=0,"OK",IF(ABS(M160)&gt;=0.3*L160,"Berubah besar","Harga berubah")))))))))))))</f>
        <v/>
      </c>
      <c r="O160" s="18" t="n"/>
      <c r="P160" s="18" t="n"/>
      <c r="Q160" s="26" t="n"/>
    </row>
    <row r="161">
      <c r="A161" s="17" t="n"/>
      <c r="B161" s="18" t="n"/>
      <c r="C161" s="19" t="n"/>
      <c r="D161" s="19" t="n"/>
      <c r="E161" s="19" t="n"/>
      <c r="F161" s="20" t="n"/>
      <c r="G161" s="21" t="n"/>
      <c r="H161" s="20" t="n"/>
      <c r="I161" s="22">
        <f>IF(ISNUMBER(H161),H161,IF(AND(ISNUMBER(F161),ISNUMBER(G161)),CEILING(ROUND(F161*(1+G161),2),1000),""))</f>
        <v/>
      </c>
      <c r="J161" s="22">
        <f>IF(AND(ISNUMBER(I161),ISNUMBER(F161)),I161-F161,"")</f>
        <v/>
      </c>
      <c r="K161" s="23">
        <f>IF(AND(ISNUMBER(I161),ISNUMBER(F161)),IF(I161=0,"",(I161-F161)/I161),"")</f>
        <v/>
      </c>
      <c r="L161" s="22" t="n"/>
      <c r="M161" s="24">
        <f>IF(AND(ISNUMBER(I161),ISNUMBER(L161)),I161-L161,"")</f>
        <v/>
      </c>
      <c r="N161" s="25">
        <f>IF(AND(C161="",E161=""),"",IF(AND(H161&lt;&gt;"",NOT(ISNUMBER(H161))),"Cek Harga Manual",IF(AND(F161="-",NOT(ISNUMBER(H161))),"Isi Harga Manual",IF(F161="-","HPP akan dihapus",IF(AND(F161&lt;&gt;"",NOT(ISNUMBER(F161))),"Cek HPP",IF(AND(ISNUMBER(G161),OR(G161&lt;0,G161&gt;20)),"Cek Markup",IF(NOT(ISNUMBER(I161)),"Harga belum ada",IF(F161="","HPP kosong",IF(F161=0,"HPP 0, cek",IF(I161&lt;=F161,"RUGI / impas",IF(NOT(ISNUMBER(L161)),"Baru",IF(M161=0,"OK",IF(ABS(M161)&gt;=0.3*L161,"Berubah besar","Harga berubah")))))))))))))</f>
        <v/>
      </c>
      <c r="O161" s="18" t="n"/>
      <c r="P161" s="18" t="n"/>
      <c r="Q161" s="26" t="n"/>
    </row>
    <row r="162">
      <c r="A162" s="17" t="n"/>
      <c r="B162" s="18" t="n"/>
      <c r="C162" s="19" t="n"/>
      <c r="D162" s="19" t="n"/>
      <c r="E162" s="19" t="n"/>
      <c r="F162" s="20" t="n"/>
      <c r="G162" s="21" t="n"/>
      <c r="H162" s="20" t="n"/>
      <c r="I162" s="22">
        <f>IF(ISNUMBER(H162),H162,IF(AND(ISNUMBER(F162),ISNUMBER(G162)),CEILING(ROUND(F162*(1+G162),2),1000),""))</f>
        <v/>
      </c>
      <c r="J162" s="22">
        <f>IF(AND(ISNUMBER(I162),ISNUMBER(F162)),I162-F162,"")</f>
        <v/>
      </c>
      <c r="K162" s="23">
        <f>IF(AND(ISNUMBER(I162),ISNUMBER(F162)),IF(I162=0,"",(I162-F162)/I162),"")</f>
        <v/>
      </c>
      <c r="L162" s="22" t="n"/>
      <c r="M162" s="24">
        <f>IF(AND(ISNUMBER(I162),ISNUMBER(L162)),I162-L162,"")</f>
        <v/>
      </c>
      <c r="N162" s="25">
        <f>IF(AND(C162="",E162=""),"",IF(AND(H162&lt;&gt;"",NOT(ISNUMBER(H162))),"Cek Harga Manual",IF(AND(F162="-",NOT(ISNUMBER(H162))),"Isi Harga Manual",IF(F162="-","HPP akan dihapus",IF(AND(F162&lt;&gt;"",NOT(ISNUMBER(F162))),"Cek HPP",IF(AND(ISNUMBER(G162),OR(G162&lt;0,G162&gt;20)),"Cek Markup",IF(NOT(ISNUMBER(I162)),"Harga belum ada",IF(F162="","HPP kosong",IF(F162=0,"HPP 0, cek",IF(I162&lt;=F162,"RUGI / impas",IF(NOT(ISNUMBER(L162)),"Baru",IF(M162=0,"OK",IF(ABS(M162)&gt;=0.3*L162,"Berubah besar","Harga berubah")))))))))))))</f>
        <v/>
      </c>
      <c r="O162" s="18" t="n"/>
      <c r="P162" s="18" t="n"/>
      <c r="Q162" s="26" t="n"/>
    </row>
    <row r="163">
      <c r="A163" s="17" t="n"/>
      <c r="B163" s="18" t="n"/>
      <c r="C163" s="19" t="n"/>
      <c r="D163" s="19" t="n"/>
      <c r="E163" s="19" t="n"/>
      <c r="F163" s="20" t="n"/>
      <c r="G163" s="21" t="n"/>
      <c r="H163" s="20" t="n"/>
      <c r="I163" s="22">
        <f>IF(ISNUMBER(H163),H163,IF(AND(ISNUMBER(F163),ISNUMBER(G163)),CEILING(ROUND(F163*(1+G163),2),1000),""))</f>
        <v/>
      </c>
      <c r="J163" s="22">
        <f>IF(AND(ISNUMBER(I163),ISNUMBER(F163)),I163-F163,"")</f>
        <v/>
      </c>
      <c r="K163" s="23">
        <f>IF(AND(ISNUMBER(I163),ISNUMBER(F163)),IF(I163=0,"",(I163-F163)/I163),"")</f>
        <v/>
      </c>
      <c r="L163" s="22" t="n"/>
      <c r="M163" s="24">
        <f>IF(AND(ISNUMBER(I163),ISNUMBER(L163)),I163-L163,"")</f>
        <v/>
      </c>
      <c r="N163" s="25">
        <f>IF(AND(C163="",E163=""),"",IF(AND(H163&lt;&gt;"",NOT(ISNUMBER(H163))),"Cek Harga Manual",IF(AND(F163="-",NOT(ISNUMBER(H163))),"Isi Harga Manual",IF(F163="-","HPP akan dihapus",IF(AND(F163&lt;&gt;"",NOT(ISNUMBER(F163))),"Cek HPP",IF(AND(ISNUMBER(G163),OR(G163&lt;0,G163&gt;20)),"Cek Markup",IF(NOT(ISNUMBER(I163)),"Harga belum ada",IF(F163="","HPP kosong",IF(F163=0,"HPP 0, cek",IF(I163&lt;=F163,"RUGI / impas",IF(NOT(ISNUMBER(L163)),"Baru",IF(M163=0,"OK",IF(ABS(M163)&gt;=0.3*L163,"Berubah besar","Harga berubah")))))))))))))</f>
        <v/>
      </c>
      <c r="O163" s="18" t="n"/>
      <c r="P163" s="18" t="n"/>
      <c r="Q163" s="26" t="n"/>
    </row>
    <row r="164">
      <c r="A164" s="17" t="n"/>
      <c r="B164" s="18" t="n"/>
      <c r="C164" s="19" t="n"/>
      <c r="D164" s="19" t="n"/>
      <c r="E164" s="19" t="n"/>
      <c r="F164" s="20" t="n"/>
      <c r="G164" s="21" t="n"/>
      <c r="H164" s="20" t="n"/>
      <c r="I164" s="22">
        <f>IF(ISNUMBER(H164),H164,IF(AND(ISNUMBER(F164),ISNUMBER(G164)),CEILING(ROUND(F164*(1+G164),2),1000),""))</f>
        <v/>
      </c>
      <c r="J164" s="22">
        <f>IF(AND(ISNUMBER(I164),ISNUMBER(F164)),I164-F164,"")</f>
        <v/>
      </c>
      <c r="K164" s="23">
        <f>IF(AND(ISNUMBER(I164),ISNUMBER(F164)),IF(I164=0,"",(I164-F164)/I164),"")</f>
        <v/>
      </c>
      <c r="L164" s="22" t="n"/>
      <c r="M164" s="24">
        <f>IF(AND(ISNUMBER(I164),ISNUMBER(L164)),I164-L164,"")</f>
        <v/>
      </c>
      <c r="N164" s="25">
        <f>IF(AND(C164="",E164=""),"",IF(AND(H164&lt;&gt;"",NOT(ISNUMBER(H164))),"Cek Harga Manual",IF(AND(F164="-",NOT(ISNUMBER(H164))),"Isi Harga Manual",IF(F164="-","HPP akan dihapus",IF(AND(F164&lt;&gt;"",NOT(ISNUMBER(F164))),"Cek HPP",IF(AND(ISNUMBER(G164),OR(G164&lt;0,G164&gt;20)),"Cek Markup",IF(NOT(ISNUMBER(I164)),"Harga belum ada",IF(F164="","HPP kosong",IF(F164=0,"HPP 0, cek",IF(I164&lt;=F164,"RUGI / impas",IF(NOT(ISNUMBER(L164)),"Baru",IF(M164=0,"OK",IF(ABS(M164)&gt;=0.3*L164,"Berubah besar","Harga berubah")))))))))))))</f>
        <v/>
      </c>
      <c r="O164" s="18" t="n"/>
      <c r="P164" s="18" t="n"/>
      <c r="Q164" s="26" t="n"/>
    </row>
    <row r="165">
      <c r="A165" s="17" t="n"/>
      <c r="B165" s="18" t="n"/>
      <c r="C165" s="19" t="n"/>
      <c r="D165" s="19" t="n"/>
      <c r="E165" s="19" t="n"/>
      <c r="F165" s="20" t="n"/>
      <c r="G165" s="21" t="n"/>
      <c r="H165" s="20" t="n"/>
      <c r="I165" s="22">
        <f>IF(ISNUMBER(H165),H165,IF(AND(ISNUMBER(F165),ISNUMBER(G165)),CEILING(ROUND(F165*(1+G165),2),1000),""))</f>
        <v/>
      </c>
      <c r="J165" s="22">
        <f>IF(AND(ISNUMBER(I165),ISNUMBER(F165)),I165-F165,"")</f>
        <v/>
      </c>
      <c r="K165" s="23">
        <f>IF(AND(ISNUMBER(I165),ISNUMBER(F165)),IF(I165=0,"",(I165-F165)/I165),"")</f>
        <v/>
      </c>
      <c r="L165" s="22" t="n"/>
      <c r="M165" s="24">
        <f>IF(AND(ISNUMBER(I165),ISNUMBER(L165)),I165-L165,"")</f>
        <v/>
      </c>
      <c r="N165" s="25">
        <f>IF(AND(C165="",E165=""),"",IF(AND(H165&lt;&gt;"",NOT(ISNUMBER(H165))),"Cek Harga Manual",IF(AND(F165="-",NOT(ISNUMBER(H165))),"Isi Harga Manual",IF(F165="-","HPP akan dihapus",IF(AND(F165&lt;&gt;"",NOT(ISNUMBER(F165))),"Cek HPP",IF(AND(ISNUMBER(G165),OR(G165&lt;0,G165&gt;20)),"Cek Markup",IF(NOT(ISNUMBER(I165)),"Harga belum ada",IF(F165="","HPP kosong",IF(F165=0,"HPP 0, cek",IF(I165&lt;=F165,"RUGI / impas",IF(NOT(ISNUMBER(L165)),"Baru",IF(M165=0,"OK",IF(ABS(M165)&gt;=0.3*L165,"Berubah besar","Harga berubah")))))))))))))</f>
        <v/>
      </c>
      <c r="O165" s="18" t="n"/>
      <c r="P165" s="18" t="n"/>
      <c r="Q165" s="26" t="n"/>
    </row>
    <row r="166">
      <c r="A166" s="17" t="n"/>
      <c r="B166" s="18" t="n"/>
      <c r="C166" s="19" t="n"/>
      <c r="D166" s="19" t="n"/>
      <c r="E166" s="19" t="n"/>
      <c r="F166" s="20" t="n"/>
      <c r="G166" s="21" t="n"/>
      <c r="H166" s="20" t="n"/>
      <c r="I166" s="22">
        <f>IF(ISNUMBER(H166),H166,IF(AND(ISNUMBER(F166),ISNUMBER(G166)),CEILING(ROUND(F166*(1+G166),2),1000),""))</f>
        <v/>
      </c>
      <c r="J166" s="22">
        <f>IF(AND(ISNUMBER(I166),ISNUMBER(F166)),I166-F166,"")</f>
        <v/>
      </c>
      <c r="K166" s="23">
        <f>IF(AND(ISNUMBER(I166),ISNUMBER(F166)),IF(I166=0,"",(I166-F166)/I166),"")</f>
        <v/>
      </c>
      <c r="L166" s="22" t="n"/>
      <c r="M166" s="24">
        <f>IF(AND(ISNUMBER(I166),ISNUMBER(L166)),I166-L166,"")</f>
        <v/>
      </c>
      <c r="N166" s="25">
        <f>IF(AND(C166="",E166=""),"",IF(AND(H166&lt;&gt;"",NOT(ISNUMBER(H166))),"Cek Harga Manual",IF(AND(F166="-",NOT(ISNUMBER(H166))),"Isi Harga Manual",IF(F166="-","HPP akan dihapus",IF(AND(F166&lt;&gt;"",NOT(ISNUMBER(F166))),"Cek HPP",IF(AND(ISNUMBER(G166),OR(G166&lt;0,G166&gt;20)),"Cek Markup",IF(NOT(ISNUMBER(I166)),"Harga belum ada",IF(F166="","HPP kosong",IF(F166=0,"HPP 0, cek",IF(I166&lt;=F166,"RUGI / impas",IF(NOT(ISNUMBER(L166)),"Baru",IF(M166=0,"OK",IF(ABS(M166)&gt;=0.3*L166,"Berubah besar","Harga berubah")))))))))))))</f>
        <v/>
      </c>
      <c r="O166" s="18" t="n"/>
      <c r="P166" s="18" t="n"/>
      <c r="Q166" s="26" t="n"/>
    </row>
    <row r="167">
      <c r="A167" s="17" t="n"/>
      <c r="B167" s="18" t="n"/>
      <c r="C167" s="19" t="n"/>
      <c r="D167" s="19" t="n"/>
      <c r="E167" s="19" t="n"/>
      <c r="F167" s="20" t="n"/>
      <c r="G167" s="21" t="n"/>
      <c r="H167" s="20" t="n"/>
      <c r="I167" s="22">
        <f>IF(ISNUMBER(H167),H167,IF(AND(ISNUMBER(F167),ISNUMBER(G167)),CEILING(ROUND(F167*(1+G167),2),1000),""))</f>
        <v/>
      </c>
      <c r="J167" s="22">
        <f>IF(AND(ISNUMBER(I167),ISNUMBER(F167)),I167-F167,"")</f>
        <v/>
      </c>
      <c r="K167" s="23">
        <f>IF(AND(ISNUMBER(I167),ISNUMBER(F167)),IF(I167=0,"",(I167-F167)/I167),"")</f>
        <v/>
      </c>
      <c r="L167" s="22" t="n"/>
      <c r="M167" s="24">
        <f>IF(AND(ISNUMBER(I167),ISNUMBER(L167)),I167-L167,"")</f>
        <v/>
      </c>
      <c r="N167" s="25">
        <f>IF(AND(C167="",E167=""),"",IF(AND(H167&lt;&gt;"",NOT(ISNUMBER(H167))),"Cek Harga Manual",IF(AND(F167="-",NOT(ISNUMBER(H167))),"Isi Harga Manual",IF(F167="-","HPP akan dihapus",IF(AND(F167&lt;&gt;"",NOT(ISNUMBER(F167))),"Cek HPP",IF(AND(ISNUMBER(G167),OR(G167&lt;0,G167&gt;20)),"Cek Markup",IF(NOT(ISNUMBER(I167)),"Harga belum ada",IF(F167="","HPP kosong",IF(F167=0,"HPP 0, cek",IF(I167&lt;=F167,"RUGI / impas",IF(NOT(ISNUMBER(L167)),"Baru",IF(M167=0,"OK",IF(ABS(M167)&gt;=0.3*L167,"Berubah besar","Harga berubah")))))))))))))</f>
        <v/>
      </c>
      <c r="O167" s="18" t="n"/>
      <c r="P167" s="18" t="n"/>
      <c r="Q167" s="26" t="n"/>
    </row>
    <row r="168">
      <c r="A168" s="17" t="n"/>
      <c r="B168" s="18" t="n"/>
      <c r="C168" s="19" t="n"/>
      <c r="D168" s="19" t="n"/>
      <c r="E168" s="19" t="n"/>
      <c r="F168" s="20" t="n"/>
      <c r="G168" s="21" t="n"/>
      <c r="H168" s="20" t="n"/>
      <c r="I168" s="22">
        <f>IF(ISNUMBER(H168),H168,IF(AND(ISNUMBER(F168),ISNUMBER(G168)),CEILING(ROUND(F168*(1+G168),2),1000),""))</f>
        <v/>
      </c>
      <c r="J168" s="22">
        <f>IF(AND(ISNUMBER(I168),ISNUMBER(F168)),I168-F168,"")</f>
        <v/>
      </c>
      <c r="K168" s="23">
        <f>IF(AND(ISNUMBER(I168),ISNUMBER(F168)),IF(I168=0,"",(I168-F168)/I168),"")</f>
        <v/>
      </c>
      <c r="L168" s="22" t="n"/>
      <c r="M168" s="24">
        <f>IF(AND(ISNUMBER(I168),ISNUMBER(L168)),I168-L168,"")</f>
        <v/>
      </c>
      <c r="N168" s="25">
        <f>IF(AND(C168="",E168=""),"",IF(AND(H168&lt;&gt;"",NOT(ISNUMBER(H168))),"Cek Harga Manual",IF(AND(F168="-",NOT(ISNUMBER(H168))),"Isi Harga Manual",IF(F168="-","HPP akan dihapus",IF(AND(F168&lt;&gt;"",NOT(ISNUMBER(F168))),"Cek HPP",IF(AND(ISNUMBER(G168),OR(G168&lt;0,G168&gt;20)),"Cek Markup",IF(NOT(ISNUMBER(I168)),"Harga belum ada",IF(F168="","HPP kosong",IF(F168=0,"HPP 0, cek",IF(I168&lt;=F168,"RUGI / impas",IF(NOT(ISNUMBER(L168)),"Baru",IF(M168=0,"OK",IF(ABS(M168)&gt;=0.3*L168,"Berubah besar","Harga berubah")))))))))))))</f>
        <v/>
      </c>
      <c r="O168" s="18" t="n"/>
      <c r="P168" s="18" t="n"/>
      <c r="Q168" s="26" t="n"/>
    </row>
    <row r="169">
      <c r="A169" s="17" t="n"/>
      <c r="B169" s="18" t="n"/>
      <c r="C169" s="19" t="n"/>
      <c r="D169" s="19" t="n"/>
      <c r="E169" s="19" t="n"/>
      <c r="F169" s="20" t="n"/>
      <c r="G169" s="21" t="n"/>
      <c r="H169" s="20" t="n"/>
      <c r="I169" s="22">
        <f>IF(ISNUMBER(H169),H169,IF(AND(ISNUMBER(F169),ISNUMBER(G169)),CEILING(ROUND(F169*(1+G169),2),1000),""))</f>
        <v/>
      </c>
      <c r="J169" s="22">
        <f>IF(AND(ISNUMBER(I169),ISNUMBER(F169)),I169-F169,"")</f>
        <v/>
      </c>
      <c r="K169" s="23">
        <f>IF(AND(ISNUMBER(I169),ISNUMBER(F169)),IF(I169=0,"",(I169-F169)/I169),"")</f>
        <v/>
      </c>
      <c r="L169" s="22" t="n"/>
      <c r="M169" s="24">
        <f>IF(AND(ISNUMBER(I169),ISNUMBER(L169)),I169-L169,"")</f>
        <v/>
      </c>
      <c r="N169" s="25">
        <f>IF(AND(C169="",E169=""),"",IF(AND(H169&lt;&gt;"",NOT(ISNUMBER(H169))),"Cek Harga Manual",IF(AND(F169="-",NOT(ISNUMBER(H169))),"Isi Harga Manual",IF(F169="-","HPP akan dihapus",IF(AND(F169&lt;&gt;"",NOT(ISNUMBER(F169))),"Cek HPP",IF(AND(ISNUMBER(G169),OR(G169&lt;0,G169&gt;20)),"Cek Markup",IF(NOT(ISNUMBER(I169)),"Harga belum ada",IF(F169="","HPP kosong",IF(F169=0,"HPP 0, cek",IF(I169&lt;=F169,"RUGI / impas",IF(NOT(ISNUMBER(L169)),"Baru",IF(M169=0,"OK",IF(ABS(M169)&gt;=0.3*L169,"Berubah besar","Harga berubah")))))))))))))</f>
        <v/>
      </c>
      <c r="O169" s="18" t="n"/>
      <c r="P169" s="18" t="n"/>
      <c r="Q169" s="26" t="n"/>
    </row>
    <row r="170">
      <c r="A170" s="17" t="n"/>
      <c r="B170" s="18" t="n"/>
      <c r="C170" s="19" t="n"/>
      <c r="D170" s="19" t="n"/>
      <c r="E170" s="19" t="n"/>
      <c r="F170" s="20" t="n"/>
      <c r="G170" s="21" t="n"/>
      <c r="H170" s="20" t="n"/>
      <c r="I170" s="22">
        <f>IF(ISNUMBER(H170),H170,IF(AND(ISNUMBER(F170),ISNUMBER(G170)),CEILING(ROUND(F170*(1+G170),2),1000),""))</f>
        <v/>
      </c>
      <c r="J170" s="22">
        <f>IF(AND(ISNUMBER(I170),ISNUMBER(F170)),I170-F170,"")</f>
        <v/>
      </c>
      <c r="K170" s="23">
        <f>IF(AND(ISNUMBER(I170),ISNUMBER(F170)),IF(I170=0,"",(I170-F170)/I170),"")</f>
        <v/>
      </c>
      <c r="L170" s="22" t="n"/>
      <c r="M170" s="24">
        <f>IF(AND(ISNUMBER(I170),ISNUMBER(L170)),I170-L170,"")</f>
        <v/>
      </c>
      <c r="N170" s="25">
        <f>IF(AND(C170="",E170=""),"",IF(AND(H170&lt;&gt;"",NOT(ISNUMBER(H170))),"Cek Harga Manual",IF(AND(F170="-",NOT(ISNUMBER(H170))),"Isi Harga Manual",IF(F170="-","HPP akan dihapus",IF(AND(F170&lt;&gt;"",NOT(ISNUMBER(F170))),"Cek HPP",IF(AND(ISNUMBER(G170),OR(G170&lt;0,G170&gt;20)),"Cek Markup",IF(NOT(ISNUMBER(I170)),"Harga belum ada",IF(F170="","HPP kosong",IF(F170=0,"HPP 0, cek",IF(I170&lt;=F170,"RUGI / impas",IF(NOT(ISNUMBER(L170)),"Baru",IF(M170=0,"OK",IF(ABS(M170)&gt;=0.3*L170,"Berubah besar","Harga berubah")))))))))))))</f>
        <v/>
      </c>
      <c r="O170" s="18" t="n"/>
      <c r="P170" s="18" t="n"/>
      <c r="Q170" s="26" t="n"/>
    </row>
    <row r="171">
      <c r="A171" s="17" t="n"/>
      <c r="B171" s="18" t="n"/>
      <c r="C171" s="19" t="n"/>
      <c r="D171" s="19" t="n"/>
      <c r="E171" s="19" t="n"/>
      <c r="F171" s="20" t="n"/>
      <c r="G171" s="21" t="n"/>
      <c r="H171" s="20" t="n"/>
      <c r="I171" s="22">
        <f>IF(ISNUMBER(H171),H171,IF(AND(ISNUMBER(F171),ISNUMBER(G171)),CEILING(ROUND(F171*(1+G171),2),1000),""))</f>
        <v/>
      </c>
      <c r="J171" s="22">
        <f>IF(AND(ISNUMBER(I171),ISNUMBER(F171)),I171-F171,"")</f>
        <v/>
      </c>
      <c r="K171" s="23">
        <f>IF(AND(ISNUMBER(I171),ISNUMBER(F171)),IF(I171=0,"",(I171-F171)/I171),"")</f>
        <v/>
      </c>
      <c r="L171" s="22" t="n"/>
      <c r="M171" s="24">
        <f>IF(AND(ISNUMBER(I171),ISNUMBER(L171)),I171-L171,"")</f>
        <v/>
      </c>
      <c r="N171" s="25">
        <f>IF(AND(C171="",E171=""),"",IF(AND(H171&lt;&gt;"",NOT(ISNUMBER(H171))),"Cek Harga Manual",IF(AND(F171="-",NOT(ISNUMBER(H171))),"Isi Harga Manual",IF(F171="-","HPP akan dihapus",IF(AND(F171&lt;&gt;"",NOT(ISNUMBER(F171))),"Cek HPP",IF(AND(ISNUMBER(G171),OR(G171&lt;0,G171&gt;20)),"Cek Markup",IF(NOT(ISNUMBER(I171)),"Harga belum ada",IF(F171="","HPP kosong",IF(F171=0,"HPP 0, cek",IF(I171&lt;=F171,"RUGI / impas",IF(NOT(ISNUMBER(L171)),"Baru",IF(M171=0,"OK",IF(ABS(M171)&gt;=0.3*L171,"Berubah besar","Harga berubah")))))))))))))</f>
        <v/>
      </c>
      <c r="O171" s="18" t="n"/>
      <c r="P171" s="18" t="n"/>
      <c r="Q171" s="26" t="n"/>
    </row>
    <row r="172">
      <c r="A172" s="17" t="n"/>
      <c r="B172" s="18" t="n"/>
      <c r="C172" s="19" t="n"/>
      <c r="D172" s="19" t="n"/>
      <c r="E172" s="19" t="n"/>
      <c r="F172" s="20" t="n"/>
      <c r="G172" s="21" t="n"/>
      <c r="H172" s="20" t="n"/>
      <c r="I172" s="22">
        <f>IF(ISNUMBER(H172),H172,IF(AND(ISNUMBER(F172),ISNUMBER(G172)),CEILING(ROUND(F172*(1+G172),2),1000),""))</f>
        <v/>
      </c>
      <c r="J172" s="22">
        <f>IF(AND(ISNUMBER(I172),ISNUMBER(F172)),I172-F172,"")</f>
        <v/>
      </c>
      <c r="K172" s="23">
        <f>IF(AND(ISNUMBER(I172),ISNUMBER(F172)),IF(I172=0,"",(I172-F172)/I172),"")</f>
        <v/>
      </c>
      <c r="L172" s="22" t="n"/>
      <c r="M172" s="24">
        <f>IF(AND(ISNUMBER(I172),ISNUMBER(L172)),I172-L172,"")</f>
        <v/>
      </c>
      <c r="N172" s="25">
        <f>IF(AND(C172="",E172=""),"",IF(AND(H172&lt;&gt;"",NOT(ISNUMBER(H172))),"Cek Harga Manual",IF(AND(F172="-",NOT(ISNUMBER(H172))),"Isi Harga Manual",IF(F172="-","HPP akan dihapus",IF(AND(F172&lt;&gt;"",NOT(ISNUMBER(F172))),"Cek HPP",IF(AND(ISNUMBER(G172),OR(G172&lt;0,G172&gt;20)),"Cek Markup",IF(NOT(ISNUMBER(I172)),"Harga belum ada",IF(F172="","HPP kosong",IF(F172=0,"HPP 0, cek",IF(I172&lt;=F172,"RUGI / impas",IF(NOT(ISNUMBER(L172)),"Baru",IF(M172=0,"OK",IF(ABS(M172)&gt;=0.3*L172,"Berubah besar","Harga berubah")))))))))))))</f>
        <v/>
      </c>
      <c r="O172" s="18" t="n"/>
      <c r="P172" s="18" t="n"/>
      <c r="Q172" s="26" t="n"/>
    </row>
    <row r="173">
      <c r="A173" s="17" t="n"/>
      <c r="B173" s="18" t="n"/>
      <c r="C173" s="19" t="n"/>
      <c r="D173" s="19" t="n"/>
      <c r="E173" s="19" t="n"/>
      <c r="F173" s="20" t="n"/>
      <c r="G173" s="21" t="n"/>
      <c r="H173" s="20" t="n"/>
      <c r="I173" s="22">
        <f>IF(ISNUMBER(H173),H173,IF(AND(ISNUMBER(F173),ISNUMBER(G173)),CEILING(ROUND(F173*(1+G173),2),1000),""))</f>
        <v/>
      </c>
      <c r="J173" s="22">
        <f>IF(AND(ISNUMBER(I173),ISNUMBER(F173)),I173-F173,"")</f>
        <v/>
      </c>
      <c r="K173" s="23">
        <f>IF(AND(ISNUMBER(I173),ISNUMBER(F173)),IF(I173=0,"",(I173-F173)/I173),"")</f>
        <v/>
      </c>
      <c r="L173" s="22" t="n"/>
      <c r="M173" s="24">
        <f>IF(AND(ISNUMBER(I173),ISNUMBER(L173)),I173-L173,"")</f>
        <v/>
      </c>
      <c r="N173" s="25">
        <f>IF(AND(C173="",E173=""),"",IF(AND(H173&lt;&gt;"",NOT(ISNUMBER(H173))),"Cek Harga Manual",IF(AND(F173="-",NOT(ISNUMBER(H173))),"Isi Harga Manual",IF(F173="-","HPP akan dihapus",IF(AND(F173&lt;&gt;"",NOT(ISNUMBER(F173))),"Cek HPP",IF(AND(ISNUMBER(G173),OR(G173&lt;0,G173&gt;20)),"Cek Markup",IF(NOT(ISNUMBER(I173)),"Harga belum ada",IF(F173="","HPP kosong",IF(F173=0,"HPP 0, cek",IF(I173&lt;=F173,"RUGI / impas",IF(NOT(ISNUMBER(L173)),"Baru",IF(M173=0,"OK",IF(ABS(M173)&gt;=0.3*L173,"Berubah besar","Harga berubah")))))))))))))</f>
        <v/>
      </c>
      <c r="O173" s="18" t="n"/>
      <c r="P173" s="18" t="n"/>
      <c r="Q173" s="26" t="n"/>
    </row>
    <row r="174">
      <c r="A174" s="17" t="n"/>
      <c r="B174" s="18" t="n"/>
      <c r="C174" s="19" t="n"/>
      <c r="D174" s="19" t="n"/>
      <c r="E174" s="19" t="n"/>
      <c r="F174" s="20" t="n"/>
      <c r="G174" s="21" t="n"/>
      <c r="H174" s="20" t="n"/>
      <c r="I174" s="22">
        <f>IF(ISNUMBER(H174),H174,IF(AND(ISNUMBER(F174),ISNUMBER(G174)),CEILING(ROUND(F174*(1+G174),2),1000),""))</f>
        <v/>
      </c>
      <c r="J174" s="22">
        <f>IF(AND(ISNUMBER(I174),ISNUMBER(F174)),I174-F174,"")</f>
        <v/>
      </c>
      <c r="K174" s="23">
        <f>IF(AND(ISNUMBER(I174),ISNUMBER(F174)),IF(I174=0,"",(I174-F174)/I174),"")</f>
        <v/>
      </c>
      <c r="L174" s="22" t="n"/>
      <c r="M174" s="24">
        <f>IF(AND(ISNUMBER(I174),ISNUMBER(L174)),I174-L174,"")</f>
        <v/>
      </c>
      <c r="N174" s="25">
        <f>IF(AND(C174="",E174=""),"",IF(AND(H174&lt;&gt;"",NOT(ISNUMBER(H174))),"Cek Harga Manual",IF(AND(F174="-",NOT(ISNUMBER(H174))),"Isi Harga Manual",IF(F174="-","HPP akan dihapus",IF(AND(F174&lt;&gt;"",NOT(ISNUMBER(F174))),"Cek HPP",IF(AND(ISNUMBER(G174),OR(G174&lt;0,G174&gt;20)),"Cek Markup",IF(NOT(ISNUMBER(I174)),"Harga belum ada",IF(F174="","HPP kosong",IF(F174=0,"HPP 0, cek",IF(I174&lt;=F174,"RUGI / impas",IF(NOT(ISNUMBER(L174)),"Baru",IF(M174=0,"OK",IF(ABS(M174)&gt;=0.3*L174,"Berubah besar","Harga berubah")))))))))))))</f>
        <v/>
      </c>
      <c r="O174" s="18" t="n"/>
      <c r="P174" s="18" t="n"/>
      <c r="Q174" s="26" t="n"/>
    </row>
    <row r="175">
      <c r="A175" s="17" t="n"/>
      <c r="B175" s="18" t="n"/>
      <c r="C175" s="19" t="n"/>
      <c r="D175" s="19" t="n"/>
      <c r="E175" s="19" t="n"/>
      <c r="F175" s="20" t="n"/>
      <c r="G175" s="21" t="n"/>
      <c r="H175" s="20" t="n"/>
      <c r="I175" s="22">
        <f>IF(ISNUMBER(H175),H175,IF(AND(ISNUMBER(F175),ISNUMBER(G175)),CEILING(ROUND(F175*(1+G175),2),1000),""))</f>
        <v/>
      </c>
      <c r="J175" s="22">
        <f>IF(AND(ISNUMBER(I175),ISNUMBER(F175)),I175-F175,"")</f>
        <v/>
      </c>
      <c r="K175" s="23">
        <f>IF(AND(ISNUMBER(I175),ISNUMBER(F175)),IF(I175=0,"",(I175-F175)/I175),"")</f>
        <v/>
      </c>
      <c r="L175" s="22" t="n"/>
      <c r="M175" s="24">
        <f>IF(AND(ISNUMBER(I175),ISNUMBER(L175)),I175-L175,"")</f>
        <v/>
      </c>
      <c r="N175" s="25">
        <f>IF(AND(C175="",E175=""),"",IF(AND(H175&lt;&gt;"",NOT(ISNUMBER(H175))),"Cek Harga Manual",IF(AND(F175="-",NOT(ISNUMBER(H175))),"Isi Harga Manual",IF(F175="-","HPP akan dihapus",IF(AND(F175&lt;&gt;"",NOT(ISNUMBER(F175))),"Cek HPP",IF(AND(ISNUMBER(G175),OR(G175&lt;0,G175&gt;20)),"Cek Markup",IF(NOT(ISNUMBER(I175)),"Harga belum ada",IF(F175="","HPP kosong",IF(F175=0,"HPP 0, cek",IF(I175&lt;=F175,"RUGI / impas",IF(NOT(ISNUMBER(L175)),"Baru",IF(M175=0,"OK",IF(ABS(M175)&gt;=0.3*L175,"Berubah besar","Harga berubah")))))))))))))</f>
        <v/>
      </c>
      <c r="O175" s="18" t="n"/>
      <c r="P175" s="18" t="n"/>
      <c r="Q175" s="26" t="n"/>
    </row>
    <row r="176">
      <c r="A176" s="17" t="n"/>
      <c r="B176" s="18" t="n"/>
      <c r="C176" s="19" t="n"/>
      <c r="D176" s="19" t="n"/>
      <c r="E176" s="19" t="n"/>
      <c r="F176" s="20" t="n"/>
      <c r="G176" s="21" t="n"/>
      <c r="H176" s="20" t="n"/>
      <c r="I176" s="22">
        <f>IF(ISNUMBER(H176),H176,IF(AND(ISNUMBER(F176),ISNUMBER(G176)),CEILING(ROUND(F176*(1+G176),2),1000),""))</f>
        <v/>
      </c>
      <c r="J176" s="22">
        <f>IF(AND(ISNUMBER(I176),ISNUMBER(F176)),I176-F176,"")</f>
        <v/>
      </c>
      <c r="K176" s="23">
        <f>IF(AND(ISNUMBER(I176),ISNUMBER(F176)),IF(I176=0,"",(I176-F176)/I176),"")</f>
        <v/>
      </c>
      <c r="L176" s="22" t="n"/>
      <c r="M176" s="24">
        <f>IF(AND(ISNUMBER(I176),ISNUMBER(L176)),I176-L176,"")</f>
        <v/>
      </c>
      <c r="N176" s="25">
        <f>IF(AND(C176="",E176=""),"",IF(AND(H176&lt;&gt;"",NOT(ISNUMBER(H176))),"Cek Harga Manual",IF(AND(F176="-",NOT(ISNUMBER(H176))),"Isi Harga Manual",IF(F176="-","HPP akan dihapus",IF(AND(F176&lt;&gt;"",NOT(ISNUMBER(F176))),"Cek HPP",IF(AND(ISNUMBER(G176),OR(G176&lt;0,G176&gt;20)),"Cek Markup",IF(NOT(ISNUMBER(I176)),"Harga belum ada",IF(F176="","HPP kosong",IF(F176=0,"HPP 0, cek",IF(I176&lt;=F176,"RUGI / impas",IF(NOT(ISNUMBER(L176)),"Baru",IF(M176=0,"OK",IF(ABS(M176)&gt;=0.3*L176,"Berubah besar","Harga berubah")))))))))))))</f>
        <v/>
      </c>
      <c r="O176" s="18" t="n"/>
      <c r="P176" s="18" t="n"/>
      <c r="Q176" s="26" t="n"/>
    </row>
    <row r="177">
      <c r="A177" s="17" t="n"/>
      <c r="B177" s="18" t="n"/>
      <c r="C177" s="19" t="n"/>
      <c r="D177" s="19" t="n"/>
      <c r="E177" s="19" t="n"/>
      <c r="F177" s="20" t="n"/>
      <c r="G177" s="21" t="n"/>
      <c r="H177" s="20" t="n"/>
      <c r="I177" s="22">
        <f>IF(ISNUMBER(H177),H177,IF(AND(ISNUMBER(F177),ISNUMBER(G177)),CEILING(ROUND(F177*(1+G177),2),1000),""))</f>
        <v/>
      </c>
      <c r="J177" s="22">
        <f>IF(AND(ISNUMBER(I177),ISNUMBER(F177)),I177-F177,"")</f>
        <v/>
      </c>
      <c r="K177" s="23">
        <f>IF(AND(ISNUMBER(I177),ISNUMBER(F177)),IF(I177=0,"",(I177-F177)/I177),"")</f>
        <v/>
      </c>
      <c r="L177" s="22" t="n"/>
      <c r="M177" s="24">
        <f>IF(AND(ISNUMBER(I177),ISNUMBER(L177)),I177-L177,"")</f>
        <v/>
      </c>
      <c r="N177" s="25">
        <f>IF(AND(C177="",E177=""),"",IF(AND(H177&lt;&gt;"",NOT(ISNUMBER(H177))),"Cek Harga Manual",IF(AND(F177="-",NOT(ISNUMBER(H177))),"Isi Harga Manual",IF(F177="-","HPP akan dihapus",IF(AND(F177&lt;&gt;"",NOT(ISNUMBER(F177))),"Cek HPP",IF(AND(ISNUMBER(G177),OR(G177&lt;0,G177&gt;20)),"Cek Markup",IF(NOT(ISNUMBER(I177)),"Harga belum ada",IF(F177="","HPP kosong",IF(F177=0,"HPP 0, cek",IF(I177&lt;=F177,"RUGI / impas",IF(NOT(ISNUMBER(L177)),"Baru",IF(M177=0,"OK",IF(ABS(M177)&gt;=0.3*L177,"Berubah besar","Harga berubah")))))))))))))</f>
        <v/>
      </c>
      <c r="O177" s="18" t="n"/>
      <c r="P177" s="18" t="n"/>
      <c r="Q177" s="26" t="n"/>
    </row>
    <row r="178">
      <c r="A178" s="17" t="n"/>
      <c r="B178" s="18" t="n"/>
      <c r="C178" s="19" t="n"/>
      <c r="D178" s="19" t="n"/>
      <c r="E178" s="19" t="n"/>
      <c r="F178" s="20" t="n"/>
      <c r="G178" s="21" t="n"/>
      <c r="H178" s="20" t="n"/>
      <c r="I178" s="22">
        <f>IF(ISNUMBER(H178),H178,IF(AND(ISNUMBER(F178),ISNUMBER(G178)),CEILING(ROUND(F178*(1+G178),2),1000),""))</f>
        <v/>
      </c>
      <c r="J178" s="22">
        <f>IF(AND(ISNUMBER(I178),ISNUMBER(F178)),I178-F178,"")</f>
        <v/>
      </c>
      <c r="K178" s="23">
        <f>IF(AND(ISNUMBER(I178),ISNUMBER(F178)),IF(I178=0,"",(I178-F178)/I178),"")</f>
        <v/>
      </c>
      <c r="L178" s="22" t="n"/>
      <c r="M178" s="24">
        <f>IF(AND(ISNUMBER(I178),ISNUMBER(L178)),I178-L178,"")</f>
        <v/>
      </c>
      <c r="N178" s="25">
        <f>IF(AND(C178="",E178=""),"",IF(AND(H178&lt;&gt;"",NOT(ISNUMBER(H178))),"Cek Harga Manual",IF(AND(F178="-",NOT(ISNUMBER(H178))),"Isi Harga Manual",IF(F178="-","HPP akan dihapus",IF(AND(F178&lt;&gt;"",NOT(ISNUMBER(F178))),"Cek HPP",IF(AND(ISNUMBER(G178),OR(G178&lt;0,G178&gt;20)),"Cek Markup",IF(NOT(ISNUMBER(I178)),"Harga belum ada",IF(F178="","HPP kosong",IF(F178=0,"HPP 0, cek",IF(I178&lt;=F178,"RUGI / impas",IF(NOT(ISNUMBER(L178)),"Baru",IF(M178=0,"OK",IF(ABS(M178)&gt;=0.3*L178,"Berubah besar","Harga berubah")))))))))))))</f>
        <v/>
      </c>
      <c r="O178" s="18" t="n"/>
      <c r="P178" s="18" t="n"/>
      <c r="Q178" s="26" t="n"/>
    </row>
    <row r="179">
      <c r="A179" s="17" t="n"/>
      <c r="B179" s="18" t="n"/>
      <c r="C179" s="19" t="n"/>
      <c r="D179" s="19" t="n"/>
      <c r="E179" s="19" t="n"/>
      <c r="F179" s="20" t="n"/>
      <c r="G179" s="21" t="n"/>
      <c r="H179" s="20" t="n"/>
      <c r="I179" s="22">
        <f>IF(ISNUMBER(H179),H179,IF(AND(ISNUMBER(F179),ISNUMBER(G179)),CEILING(ROUND(F179*(1+G179),2),1000),""))</f>
        <v/>
      </c>
      <c r="J179" s="22">
        <f>IF(AND(ISNUMBER(I179),ISNUMBER(F179)),I179-F179,"")</f>
        <v/>
      </c>
      <c r="K179" s="23">
        <f>IF(AND(ISNUMBER(I179),ISNUMBER(F179)),IF(I179=0,"",(I179-F179)/I179),"")</f>
        <v/>
      </c>
      <c r="L179" s="22" t="n"/>
      <c r="M179" s="24">
        <f>IF(AND(ISNUMBER(I179),ISNUMBER(L179)),I179-L179,"")</f>
        <v/>
      </c>
      <c r="N179" s="25">
        <f>IF(AND(C179="",E179=""),"",IF(AND(H179&lt;&gt;"",NOT(ISNUMBER(H179))),"Cek Harga Manual",IF(AND(F179="-",NOT(ISNUMBER(H179))),"Isi Harga Manual",IF(F179="-","HPP akan dihapus",IF(AND(F179&lt;&gt;"",NOT(ISNUMBER(F179))),"Cek HPP",IF(AND(ISNUMBER(G179),OR(G179&lt;0,G179&gt;20)),"Cek Markup",IF(NOT(ISNUMBER(I179)),"Harga belum ada",IF(F179="","HPP kosong",IF(F179=0,"HPP 0, cek",IF(I179&lt;=F179,"RUGI / impas",IF(NOT(ISNUMBER(L179)),"Baru",IF(M179=0,"OK",IF(ABS(M179)&gt;=0.3*L179,"Berubah besar","Harga berubah")))))))))))))</f>
        <v/>
      </c>
      <c r="O179" s="18" t="n"/>
      <c r="P179" s="18" t="n"/>
      <c r="Q179" s="26" t="n"/>
    </row>
    <row r="180">
      <c r="A180" s="17" t="n"/>
      <c r="B180" s="18" t="n"/>
      <c r="C180" s="19" t="n"/>
      <c r="D180" s="19" t="n"/>
      <c r="E180" s="19" t="n"/>
      <c r="F180" s="20" t="n"/>
      <c r="G180" s="21" t="n"/>
      <c r="H180" s="20" t="n"/>
      <c r="I180" s="22">
        <f>IF(ISNUMBER(H180),H180,IF(AND(ISNUMBER(F180),ISNUMBER(G180)),CEILING(ROUND(F180*(1+G180),2),1000),""))</f>
        <v/>
      </c>
      <c r="J180" s="22">
        <f>IF(AND(ISNUMBER(I180),ISNUMBER(F180)),I180-F180,"")</f>
        <v/>
      </c>
      <c r="K180" s="23">
        <f>IF(AND(ISNUMBER(I180),ISNUMBER(F180)),IF(I180=0,"",(I180-F180)/I180),"")</f>
        <v/>
      </c>
      <c r="L180" s="22" t="n"/>
      <c r="M180" s="24">
        <f>IF(AND(ISNUMBER(I180),ISNUMBER(L180)),I180-L180,"")</f>
        <v/>
      </c>
      <c r="N180" s="25">
        <f>IF(AND(C180="",E180=""),"",IF(AND(H180&lt;&gt;"",NOT(ISNUMBER(H180))),"Cek Harga Manual",IF(AND(F180="-",NOT(ISNUMBER(H180))),"Isi Harga Manual",IF(F180="-","HPP akan dihapus",IF(AND(F180&lt;&gt;"",NOT(ISNUMBER(F180))),"Cek HPP",IF(AND(ISNUMBER(G180),OR(G180&lt;0,G180&gt;20)),"Cek Markup",IF(NOT(ISNUMBER(I180)),"Harga belum ada",IF(F180="","HPP kosong",IF(F180=0,"HPP 0, cek",IF(I180&lt;=F180,"RUGI / impas",IF(NOT(ISNUMBER(L180)),"Baru",IF(M180=0,"OK",IF(ABS(M180)&gt;=0.3*L180,"Berubah besar","Harga berubah")))))))))))))</f>
        <v/>
      </c>
      <c r="O180" s="18" t="n"/>
      <c r="P180" s="18" t="n"/>
      <c r="Q180" s="26" t="n"/>
    </row>
    <row r="181">
      <c r="A181" s="17" t="n"/>
      <c r="B181" s="18" t="n"/>
      <c r="C181" s="19" t="n"/>
      <c r="D181" s="19" t="n"/>
      <c r="E181" s="19" t="n"/>
      <c r="F181" s="20" t="n"/>
      <c r="G181" s="21" t="n"/>
      <c r="H181" s="20" t="n"/>
      <c r="I181" s="22">
        <f>IF(ISNUMBER(H181),H181,IF(AND(ISNUMBER(F181),ISNUMBER(G181)),CEILING(ROUND(F181*(1+G181),2),1000),""))</f>
        <v/>
      </c>
      <c r="J181" s="22">
        <f>IF(AND(ISNUMBER(I181),ISNUMBER(F181)),I181-F181,"")</f>
        <v/>
      </c>
      <c r="K181" s="23">
        <f>IF(AND(ISNUMBER(I181),ISNUMBER(F181)),IF(I181=0,"",(I181-F181)/I181),"")</f>
        <v/>
      </c>
      <c r="L181" s="22" t="n"/>
      <c r="M181" s="24">
        <f>IF(AND(ISNUMBER(I181),ISNUMBER(L181)),I181-L181,"")</f>
        <v/>
      </c>
      <c r="N181" s="25">
        <f>IF(AND(C181="",E181=""),"",IF(AND(H181&lt;&gt;"",NOT(ISNUMBER(H181))),"Cek Harga Manual",IF(AND(F181="-",NOT(ISNUMBER(H181))),"Isi Harga Manual",IF(F181="-","HPP akan dihapus",IF(AND(F181&lt;&gt;"",NOT(ISNUMBER(F181))),"Cek HPP",IF(AND(ISNUMBER(G181),OR(G181&lt;0,G181&gt;20)),"Cek Markup",IF(NOT(ISNUMBER(I181)),"Harga belum ada",IF(F181="","HPP kosong",IF(F181=0,"HPP 0, cek",IF(I181&lt;=F181,"RUGI / impas",IF(NOT(ISNUMBER(L181)),"Baru",IF(M181=0,"OK",IF(ABS(M181)&gt;=0.3*L181,"Berubah besar","Harga berubah")))))))))))))</f>
        <v/>
      </c>
      <c r="O181" s="18" t="n"/>
      <c r="P181" s="18" t="n"/>
      <c r="Q181" s="26" t="n"/>
    </row>
    <row r="182">
      <c r="A182" s="17" t="n"/>
      <c r="B182" s="18" t="n"/>
      <c r="C182" s="19" t="n"/>
      <c r="D182" s="19" t="n"/>
      <c r="E182" s="19" t="n"/>
      <c r="F182" s="20" t="n"/>
      <c r="G182" s="21" t="n"/>
      <c r="H182" s="20" t="n"/>
      <c r="I182" s="22">
        <f>IF(ISNUMBER(H182),H182,IF(AND(ISNUMBER(F182),ISNUMBER(G182)),CEILING(ROUND(F182*(1+G182),2),1000),""))</f>
        <v/>
      </c>
      <c r="J182" s="22">
        <f>IF(AND(ISNUMBER(I182),ISNUMBER(F182)),I182-F182,"")</f>
        <v/>
      </c>
      <c r="K182" s="23">
        <f>IF(AND(ISNUMBER(I182),ISNUMBER(F182)),IF(I182=0,"",(I182-F182)/I182),"")</f>
        <v/>
      </c>
      <c r="L182" s="22" t="n"/>
      <c r="M182" s="24">
        <f>IF(AND(ISNUMBER(I182),ISNUMBER(L182)),I182-L182,"")</f>
        <v/>
      </c>
      <c r="N182" s="25">
        <f>IF(AND(C182="",E182=""),"",IF(AND(H182&lt;&gt;"",NOT(ISNUMBER(H182))),"Cek Harga Manual",IF(AND(F182="-",NOT(ISNUMBER(H182))),"Isi Harga Manual",IF(F182="-","HPP akan dihapus",IF(AND(F182&lt;&gt;"",NOT(ISNUMBER(F182))),"Cek HPP",IF(AND(ISNUMBER(G182),OR(G182&lt;0,G182&gt;20)),"Cek Markup",IF(NOT(ISNUMBER(I182)),"Harga belum ada",IF(F182="","HPP kosong",IF(F182=0,"HPP 0, cek",IF(I182&lt;=F182,"RUGI / impas",IF(NOT(ISNUMBER(L182)),"Baru",IF(M182=0,"OK",IF(ABS(M182)&gt;=0.3*L182,"Berubah besar","Harga berubah")))))))))))))</f>
        <v/>
      </c>
      <c r="O182" s="18" t="n"/>
      <c r="P182" s="18" t="n"/>
      <c r="Q182" s="26" t="n"/>
    </row>
    <row r="183">
      <c r="A183" s="17" t="n"/>
      <c r="B183" s="18" t="n"/>
      <c r="C183" s="19" t="n"/>
      <c r="D183" s="19" t="n"/>
      <c r="E183" s="19" t="n"/>
      <c r="F183" s="20" t="n"/>
      <c r="G183" s="21" t="n"/>
      <c r="H183" s="20" t="n"/>
      <c r="I183" s="22">
        <f>IF(ISNUMBER(H183),H183,IF(AND(ISNUMBER(F183),ISNUMBER(G183)),CEILING(ROUND(F183*(1+G183),2),1000),""))</f>
        <v/>
      </c>
      <c r="J183" s="22">
        <f>IF(AND(ISNUMBER(I183),ISNUMBER(F183)),I183-F183,"")</f>
        <v/>
      </c>
      <c r="K183" s="23">
        <f>IF(AND(ISNUMBER(I183),ISNUMBER(F183)),IF(I183=0,"",(I183-F183)/I183),"")</f>
        <v/>
      </c>
      <c r="L183" s="22" t="n"/>
      <c r="M183" s="24">
        <f>IF(AND(ISNUMBER(I183),ISNUMBER(L183)),I183-L183,"")</f>
        <v/>
      </c>
      <c r="N183" s="25">
        <f>IF(AND(C183="",E183=""),"",IF(AND(H183&lt;&gt;"",NOT(ISNUMBER(H183))),"Cek Harga Manual",IF(AND(F183="-",NOT(ISNUMBER(H183))),"Isi Harga Manual",IF(F183="-","HPP akan dihapus",IF(AND(F183&lt;&gt;"",NOT(ISNUMBER(F183))),"Cek HPP",IF(AND(ISNUMBER(G183),OR(G183&lt;0,G183&gt;20)),"Cek Markup",IF(NOT(ISNUMBER(I183)),"Harga belum ada",IF(F183="","HPP kosong",IF(F183=0,"HPP 0, cek",IF(I183&lt;=F183,"RUGI / impas",IF(NOT(ISNUMBER(L183)),"Baru",IF(M183=0,"OK",IF(ABS(M183)&gt;=0.3*L183,"Berubah besar","Harga berubah")))))))))))))</f>
        <v/>
      </c>
      <c r="O183" s="18" t="n"/>
      <c r="P183" s="18" t="n"/>
      <c r="Q183" s="26" t="n"/>
    </row>
    <row r="184">
      <c r="A184" s="17" t="n"/>
      <c r="B184" s="18" t="n"/>
      <c r="C184" s="19" t="n"/>
      <c r="D184" s="19" t="n"/>
      <c r="E184" s="19" t="n"/>
      <c r="F184" s="20" t="n"/>
      <c r="G184" s="21" t="n"/>
      <c r="H184" s="20" t="n"/>
      <c r="I184" s="22">
        <f>IF(ISNUMBER(H184),H184,IF(AND(ISNUMBER(F184),ISNUMBER(G184)),CEILING(ROUND(F184*(1+G184),2),1000),""))</f>
        <v/>
      </c>
      <c r="J184" s="22">
        <f>IF(AND(ISNUMBER(I184),ISNUMBER(F184)),I184-F184,"")</f>
        <v/>
      </c>
      <c r="K184" s="23">
        <f>IF(AND(ISNUMBER(I184),ISNUMBER(F184)),IF(I184=0,"",(I184-F184)/I184),"")</f>
        <v/>
      </c>
      <c r="L184" s="22" t="n"/>
      <c r="M184" s="24">
        <f>IF(AND(ISNUMBER(I184),ISNUMBER(L184)),I184-L184,"")</f>
        <v/>
      </c>
      <c r="N184" s="25">
        <f>IF(AND(C184="",E184=""),"",IF(AND(H184&lt;&gt;"",NOT(ISNUMBER(H184))),"Cek Harga Manual",IF(AND(F184="-",NOT(ISNUMBER(H184))),"Isi Harga Manual",IF(F184="-","HPP akan dihapus",IF(AND(F184&lt;&gt;"",NOT(ISNUMBER(F184))),"Cek HPP",IF(AND(ISNUMBER(G184),OR(G184&lt;0,G184&gt;20)),"Cek Markup",IF(NOT(ISNUMBER(I184)),"Harga belum ada",IF(F184="","HPP kosong",IF(F184=0,"HPP 0, cek",IF(I184&lt;=F184,"RUGI / impas",IF(NOT(ISNUMBER(L184)),"Baru",IF(M184=0,"OK",IF(ABS(M184)&gt;=0.3*L184,"Berubah besar","Harga berubah")))))))))))))</f>
        <v/>
      </c>
      <c r="O184" s="18" t="n"/>
      <c r="P184" s="18" t="n"/>
      <c r="Q184" s="26" t="n"/>
    </row>
    <row r="185">
      <c r="A185" s="17" t="n"/>
      <c r="B185" s="18" t="n"/>
      <c r="C185" s="19" t="n"/>
      <c r="D185" s="19" t="n"/>
      <c r="E185" s="19" t="n"/>
      <c r="F185" s="20" t="n"/>
      <c r="G185" s="21" t="n"/>
      <c r="H185" s="20" t="n"/>
      <c r="I185" s="22">
        <f>IF(ISNUMBER(H185),H185,IF(AND(ISNUMBER(F185),ISNUMBER(G185)),CEILING(ROUND(F185*(1+G185),2),1000),""))</f>
        <v/>
      </c>
      <c r="J185" s="22">
        <f>IF(AND(ISNUMBER(I185),ISNUMBER(F185)),I185-F185,"")</f>
        <v/>
      </c>
      <c r="K185" s="23">
        <f>IF(AND(ISNUMBER(I185),ISNUMBER(F185)),IF(I185=0,"",(I185-F185)/I185),"")</f>
        <v/>
      </c>
      <c r="L185" s="22" t="n"/>
      <c r="M185" s="24">
        <f>IF(AND(ISNUMBER(I185),ISNUMBER(L185)),I185-L185,"")</f>
        <v/>
      </c>
      <c r="N185" s="25">
        <f>IF(AND(C185="",E185=""),"",IF(AND(H185&lt;&gt;"",NOT(ISNUMBER(H185))),"Cek Harga Manual",IF(AND(F185="-",NOT(ISNUMBER(H185))),"Isi Harga Manual",IF(F185="-","HPP akan dihapus",IF(AND(F185&lt;&gt;"",NOT(ISNUMBER(F185))),"Cek HPP",IF(AND(ISNUMBER(G185),OR(G185&lt;0,G185&gt;20)),"Cek Markup",IF(NOT(ISNUMBER(I185)),"Harga belum ada",IF(F185="","HPP kosong",IF(F185=0,"HPP 0, cek",IF(I185&lt;=F185,"RUGI / impas",IF(NOT(ISNUMBER(L185)),"Baru",IF(M185=0,"OK",IF(ABS(M185)&gt;=0.3*L185,"Berubah besar","Harga berubah")))))))))))))</f>
        <v/>
      </c>
      <c r="O185" s="18" t="n"/>
      <c r="P185" s="18" t="n"/>
      <c r="Q185" s="26" t="n"/>
    </row>
    <row r="186">
      <c r="A186" s="17" t="n"/>
      <c r="B186" s="18" t="n"/>
      <c r="C186" s="19" t="n"/>
      <c r="D186" s="19" t="n"/>
      <c r="E186" s="19" t="n"/>
      <c r="F186" s="20" t="n"/>
      <c r="G186" s="21" t="n"/>
      <c r="H186" s="20" t="n"/>
      <c r="I186" s="22">
        <f>IF(ISNUMBER(H186),H186,IF(AND(ISNUMBER(F186),ISNUMBER(G186)),CEILING(ROUND(F186*(1+G186),2),1000),""))</f>
        <v/>
      </c>
      <c r="J186" s="22">
        <f>IF(AND(ISNUMBER(I186),ISNUMBER(F186)),I186-F186,"")</f>
        <v/>
      </c>
      <c r="K186" s="23">
        <f>IF(AND(ISNUMBER(I186),ISNUMBER(F186)),IF(I186=0,"",(I186-F186)/I186),"")</f>
        <v/>
      </c>
      <c r="L186" s="22" t="n"/>
      <c r="M186" s="24">
        <f>IF(AND(ISNUMBER(I186),ISNUMBER(L186)),I186-L186,"")</f>
        <v/>
      </c>
      <c r="N186" s="25">
        <f>IF(AND(C186="",E186=""),"",IF(AND(H186&lt;&gt;"",NOT(ISNUMBER(H186))),"Cek Harga Manual",IF(AND(F186="-",NOT(ISNUMBER(H186))),"Isi Harga Manual",IF(F186="-","HPP akan dihapus",IF(AND(F186&lt;&gt;"",NOT(ISNUMBER(F186))),"Cek HPP",IF(AND(ISNUMBER(G186),OR(G186&lt;0,G186&gt;20)),"Cek Markup",IF(NOT(ISNUMBER(I186)),"Harga belum ada",IF(F186="","HPP kosong",IF(F186=0,"HPP 0, cek",IF(I186&lt;=F186,"RUGI / impas",IF(NOT(ISNUMBER(L186)),"Baru",IF(M186=0,"OK",IF(ABS(M186)&gt;=0.3*L186,"Berubah besar","Harga berubah")))))))))))))</f>
        <v/>
      </c>
      <c r="O186" s="18" t="n"/>
      <c r="P186" s="18" t="n"/>
      <c r="Q186" s="26" t="n"/>
    </row>
    <row r="187">
      <c r="A187" s="17" t="n"/>
      <c r="B187" s="18" t="n"/>
      <c r="C187" s="19" t="n"/>
      <c r="D187" s="19" t="n"/>
      <c r="E187" s="19" t="n"/>
      <c r="F187" s="20" t="n"/>
      <c r="G187" s="21" t="n"/>
      <c r="H187" s="20" t="n"/>
      <c r="I187" s="22">
        <f>IF(ISNUMBER(H187),H187,IF(AND(ISNUMBER(F187),ISNUMBER(G187)),CEILING(ROUND(F187*(1+G187),2),1000),""))</f>
        <v/>
      </c>
      <c r="J187" s="22">
        <f>IF(AND(ISNUMBER(I187),ISNUMBER(F187)),I187-F187,"")</f>
        <v/>
      </c>
      <c r="K187" s="23">
        <f>IF(AND(ISNUMBER(I187),ISNUMBER(F187)),IF(I187=0,"",(I187-F187)/I187),"")</f>
        <v/>
      </c>
      <c r="L187" s="22" t="n"/>
      <c r="M187" s="24">
        <f>IF(AND(ISNUMBER(I187),ISNUMBER(L187)),I187-L187,"")</f>
        <v/>
      </c>
      <c r="N187" s="25">
        <f>IF(AND(C187="",E187=""),"",IF(AND(H187&lt;&gt;"",NOT(ISNUMBER(H187))),"Cek Harga Manual",IF(AND(F187="-",NOT(ISNUMBER(H187))),"Isi Harga Manual",IF(F187="-","HPP akan dihapus",IF(AND(F187&lt;&gt;"",NOT(ISNUMBER(F187))),"Cek HPP",IF(AND(ISNUMBER(G187),OR(G187&lt;0,G187&gt;20)),"Cek Markup",IF(NOT(ISNUMBER(I187)),"Harga belum ada",IF(F187="","HPP kosong",IF(F187=0,"HPP 0, cek",IF(I187&lt;=F187,"RUGI / impas",IF(NOT(ISNUMBER(L187)),"Baru",IF(M187=0,"OK",IF(ABS(M187)&gt;=0.3*L187,"Berubah besar","Harga berubah")))))))))))))</f>
        <v/>
      </c>
      <c r="O187" s="18" t="n"/>
      <c r="P187" s="18" t="n"/>
      <c r="Q187" s="26" t="n"/>
    </row>
    <row r="188">
      <c r="A188" s="17" t="n"/>
      <c r="B188" s="18" t="n"/>
      <c r="C188" s="19" t="n"/>
      <c r="D188" s="19" t="n"/>
      <c r="E188" s="19" t="n"/>
      <c r="F188" s="20" t="n"/>
      <c r="G188" s="21" t="n"/>
      <c r="H188" s="20" t="n"/>
      <c r="I188" s="22">
        <f>IF(ISNUMBER(H188),H188,IF(AND(ISNUMBER(F188),ISNUMBER(G188)),CEILING(ROUND(F188*(1+G188),2),1000),""))</f>
        <v/>
      </c>
      <c r="J188" s="22">
        <f>IF(AND(ISNUMBER(I188),ISNUMBER(F188)),I188-F188,"")</f>
        <v/>
      </c>
      <c r="K188" s="23">
        <f>IF(AND(ISNUMBER(I188),ISNUMBER(F188)),IF(I188=0,"",(I188-F188)/I188),"")</f>
        <v/>
      </c>
      <c r="L188" s="22" t="n"/>
      <c r="M188" s="24">
        <f>IF(AND(ISNUMBER(I188),ISNUMBER(L188)),I188-L188,"")</f>
        <v/>
      </c>
      <c r="N188" s="25">
        <f>IF(AND(C188="",E188=""),"",IF(AND(H188&lt;&gt;"",NOT(ISNUMBER(H188))),"Cek Harga Manual",IF(AND(F188="-",NOT(ISNUMBER(H188))),"Isi Harga Manual",IF(F188="-","HPP akan dihapus",IF(AND(F188&lt;&gt;"",NOT(ISNUMBER(F188))),"Cek HPP",IF(AND(ISNUMBER(G188),OR(G188&lt;0,G188&gt;20)),"Cek Markup",IF(NOT(ISNUMBER(I188)),"Harga belum ada",IF(F188="","HPP kosong",IF(F188=0,"HPP 0, cek",IF(I188&lt;=F188,"RUGI / impas",IF(NOT(ISNUMBER(L188)),"Baru",IF(M188=0,"OK",IF(ABS(M188)&gt;=0.3*L188,"Berubah besar","Harga berubah")))))))))))))</f>
        <v/>
      </c>
      <c r="O188" s="18" t="n"/>
      <c r="P188" s="18" t="n"/>
      <c r="Q188" s="26" t="n"/>
    </row>
    <row r="189">
      <c r="A189" s="17" t="n"/>
      <c r="B189" s="18" t="n"/>
      <c r="C189" s="19" t="n"/>
      <c r="D189" s="19" t="n"/>
      <c r="E189" s="19" t="n"/>
      <c r="F189" s="20" t="n"/>
      <c r="G189" s="21" t="n"/>
      <c r="H189" s="20" t="n"/>
      <c r="I189" s="22">
        <f>IF(ISNUMBER(H189),H189,IF(AND(ISNUMBER(F189),ISNUMBER(G189)),CEILING(ROUND(F189*(1+G189),2),1000),""))</f>
        <v/>
      </c>
      <c r="J189" s="22">
        <f>IF(AND(ISNUMBER(I189),ISNUMBER(F189)),I189-F189,"")</f>
        <v/>
      </c>
      <c r="K189" s="23">
        <f>IF(AND(ISNUMBER(I189),ISNUMBER(F189)),IF(I189=0,"",(I189-F189)/I189),"")</f>
        <v/>
      </c>
      <c r="L189" s="22" t="n"/>
      <c r="M189" s="24">
        <f>IF(AND(ISNUMBER(I189),ISNUMBER(L189)),I189-L189,"")</f>
        <v/>
      </c>
      <c r="N189" s="25">
        <f>IF(AND(C189="",E189=""),"",IF(AND(H189&lt;&gt;"",NOT(ISNUMBER(H189))),"Cek Harga Manual",IF(AND(F189="-",NOT(ISNUMBER(H189))),"Isi Harga Manual",IF(F189="-","HPP akan dihapus",IF(AND(F189&lt;&gt;"",NOT(ISNUMBER(F189))),"Cek HPP",IF(AND(ISNUMBER(G189),OR(G189&lt;0,G189&gt;20)),"Cek Markup",IF(NOT(ISNUMBER(I189)),"Harga belum ada",IF(F189="","HPP kosong",IF(F189=0,"HPP 0, cek",IF(I189&lt;=F189,"RUGI / impas",IF(NOT(ISNUMBER(L189)),"Baru",IF(M189=0,"OK",IF(ABS(M189)&gt;=0.3*L189,"Berubah besar","Harga berubah")))))))))))))</f>
        <v/>
      </c>
      <c r="O189" s="18" t="n"/>
      <c r="P189" s="18" t="n"/>
      <c r="Q189" s="26" t="n"/>
    </row>
    <row r="190">
      <c r="A190" s="17" t="n"/>
      <c r="B190" s="18" t="n"/>
      <c r="C190" s="19" t="n"/>
      <c r="D190" s="19" t="n"/>
      <c r="E190" s="19" t="n"/>
      <c r="F190" s="20" t="n"/>
      <c r="G190" s="21" t="n"/>
      <c r="H190" s="20" t="n"/>
      <c r="I190" s="22">
        <f>IF(ISNUMBER(H190),H190,IF(AND(ISNUMBER(F190),ISNUMBER(G190)),CEILING(ROUND(F190*(1+G190),2),1000),""))</f>
        <v/>
      </c>
      <c r="J190" s="22">
        <f>IF(AND(ISNUMBER(I190),ISNUMBER(F190)),I190-F190,"")</f>
        <v/>
      </c>
      <c r="K190" s="23">
        <f>IF(AND(ISNUMBER(I190),ISNUMBER(F190)),IF(I190=0,"",(I190-F190)/I190),"")</f>
        <v/>
      </c>
      <c r="L190" s="22" t="n"/>
      <c r="M190" s="24">
        <f>IF(AND(ISNUMBER(I190),ISNUMBER(L190)),I190-L190,"")</f>
        <v/>
      </c>
      <c r="N190" s="25">
        <f>IF(AND(C190="",E190=""),"",IF(AND(H190&lt;&gt;"",NOT(ISNUMBER(H190))),"Cek Harga Manual",IF(AND(F190="-",NOT(ISNUMBER(H190))),"Isi Harga Manual",IF(F190="-","HPP akan dihapus",IF(AND(F190&lt;&gt;"",NOT(ISNUMBER(F190))),"Cek HPP",IF(AND(ISNUMBER(G190),OR(G190&lt;0,G190&gt;20)),"Cek Markup",IF(NOT(ISNUMBER(I190)),"Harga belum ada",IF(F190="","HPP kosong",IF(F190=0,"HPP 0, cek",IF(I190&lt;=F190,"RUGI / impas",IF(NOT(ISNUMBER(L190)),"Baru",IF(M190=0,"OK",IF(ABS(M190)&gt;=0.3*L190,"Berubah besar","Harga berubah")))))))))))))</f>
        <v/>
      </c>
      <c r="O190" s="18" t="n"/>
      <c r="P190" s="18" t="n"/>
      <c r="Q190" s="26" t="n"/>
    </row>
    <row r="191">
      <c r="A191" s="17" t="n"/>
      <c r="B191" s="18" t="n"/>
      <c r="C191" s="19" t="n"/>
      <c r="D191" s="19" t="n"/>
      <c r="E191" s="19" t="n"/>
      <c r="F191" s="20" t="n"/>
      <c r="G191" s="21" t="n"/>
      <c r="H191" s="20" t="n"/>
      <c r="I191" s="22">
        <f>IF(ISNUMBER(H191),H191,IF(AND(ISNUMBER(F191),ISNUMBER(G191)),CEILING(ROUND(F191*(1+G191),2),1000),""))</f>
        <v/>
      </c>
      <c r="J191" s="22">
        <f>IF(AND(ISNUMBER(I191),ISNUMBER(F191)),I191-F191,"")</f>
        <v/>
      </c>
      <c r="K191" s="23">
        <f>IF(AND(ISNUMBER(I191),ISNUMBER(F191)),IF(I191=0,"",(I191-F191)/I191),"")</f>
        <v/>
      </c>
      <c r="L191" s="22" t="n"/>
      <c r="M191" s="24">
        <f>IF(AND(ISNUMBER(I191),ISNUMBER(L191)),I191-L191,"")</f>
        <v/>
      </c>
      <c r="N191" s="25">
        <f>IF(AND(C191="",E191=""),"",IF(AND(H191&lt;&gt;"",NOT(ISNUMBER(H191))),"Cek Harga Manual",IF(AND(F191="-",NOT(ISNUMBER(H191))),"Isi Harga Manual",IF(F191="-","HPP akan dihapus",IF(AND(F191&lt;&gt;"",NOT(ISNUMBER(F191))),"Cek HPP",IF(AND(ISNUMBER(G191),OR(G191&lt;0,G191&gt;20)),"Cek Markup",IF(NOT(ISNUMBER(I191)),"Harga belum ada",IF(F191="","HPP kosong",IF(F191=0,"HPP 0, cek",IF(I191&lt;=F191,"RUGI / impas",IF(NOT(ISNUMBER(L191)),"Baru",IF(M191=0,"OK",IF(ABS(M191)&gt;=0.3*L191,"Berubah besar","Harga berubah")))))))))))))</f>
        <v/>
      </c>
      <c r="O191" s="18" t="n"/>
      <c r="P191" s="18" t="n"/>
      <c r="Q191" s="26" t="n"/>
    </row>
    <row r="192">
      <c r="A192" s="17" t="n"/>
      <c r="B192" s="18" t="n"/>
      <c r="C192" s="19" t="n"/>
      <c r="D192" s="19" t="n"/>
      <c r="E192" s="19" t="n"/>
      <c r="F192" s="20" t="n"/>
      <c r="G192" s="21" t="n"/>
      <c r="H192" s="20" t="n"/>
      <c r="I192" s="22">
        <f>IF(ISNUMBER(H192),H192,IF(AND(ISNUMBER(F192),ISNUMBER(G192)),CEILING(ROUND(F192*(1+G192),2),1000),""))</f>
        <v/>
      </c>
      <c r="J192" s="22">
        <f>IF(AND(ISNUMBER(I192),ISNUMBER(F192)),I192-F192,"")</f>
        <v/>
      </c>
      <c r="K192" s="23">
        <f>IF(AND(ISNUMBER(I192),ISNUMBER(F192)),IF(I192=0,"",(I192-F192)/I192),"")</f>
        <v/>
      </c>
      <c r="L192" s="22" t="n"/>
      <c r="M192" s="24">
        <f>IF(AND(ISNUMBER(I192),ISNUMBER(L192)),I192-L192,"")</f>
        <v/>
      </c>
      <c r="N192" s="25">
        <f>IF(AND(C192="",E192=""),"",IF(AND(H192&lt;&gt;"",NOT(ISNUMBER(H192))),"Cek Harga Manual",IF(AND(F192="-",NOT(ISNUMBER(H192))),"Isi Harga Manual",IF(F192="-","HPP akan dihapus",IF(AND(F192&lt;&gt;"",NOT(ISNUMBER(F192))),"Cek HPP",IF(AND(ISNUMBER(G192),OR(G192&lt;0,G192&gt;20)),"Cek Markup",IF(NOT(ISNUMBER(I192)),"Harga belum ada",IF(F192="","HPP kosong",IF(F192=0,"HPP 0, cek",IF(I192&lt;=F192,"RUGI / impas",IF(NOT(ISNUMBER(L192)),"Baru",IF(M192=0,"OK",IF(ABS(M192)&gt;=0.3*L192,"Berubah besar","Harga berubah")))))))))))))</f>
        <v/>
      </c>
      <c r="O192" s="18" t="n"/>
      <c r="P192" s="18" t="n"/>
      <c r="Q192" s="26" t="n"/>
    </row>
    <row r="193">
      <c r="A193" s="17" t="n"/>
      <c r="B193" s="18" t="n"/>
      <c r="C193" s="19" t="n"/>
      <c r="D193" s="19" t="n"/>
      <c r="E193" s="19" t="n"/>
      <c r="F193" s="20" t="n"/>
      <c r="G193" s="21" t="n"/>
      <c r="H193" s="20" t="n"/>
      <c r="I193" s="22">
        <f>IF(ISNUMBER(H193),H193,IF(AND(ISNUMBER(F193),ISNUMBER(G193)),CEILING(ROUND(F193*(1+G193),2),1000),""))</f>
        <v/>
      </c>
      <c r="J193" s="22">
        <f>IF(AND(ISNUMBER(I193),ISNUMBER(F193)),I193-F193,"")</f>
        <v/>
      </c>
      <c r="K193" s="23">
        <f>IF(AND(ISNUMBER(I193),ISNUMBER(F193)),IF(I193=0,"",(I193-F193)/I193),"")</f>
        <v/>
      </c>
      <c r="L193" s="22" t="n"/>
      <c r="M193" s="24">
        <f>IF(AND(ISNUMBER(I193),ISNUMBER(L193)),I193-L193,"")</f>
        <v/>
      </c>
      <c r="N193" s="25">
        <f>IF(AND(C193="",E193=""),"",IF(AND(H193&lt;&gt;"",NOT(ISNUMBER(H193))),"Cek Harga Manual",IF(AND(F193="-",NOT(ISNUMBER(H193))),"Isi Harga Manual",IF(F193="-","HPP akan dihapus",IF(AND(F193&lt;&gt;"",NOT(ISNUMBER(F193))),"Cek HPP",IF(AND(ISNUMBER(G193),OR(G193&lt;0,G193&gt;20)),"Cek Markup",IF(NOT(ISNUMBER(I193)),"Harga belum ada",IF(F193="","HPP kosong",IF(F193=0,"HPP 0, cek",IF(I193&lt;=F193,"RUGI / impas",IF(NOT(ISNUMBER(L193)),"Baru",IF(M193=0,"OK",IF(ABS(M193)&gt;=0.3*L193,"Berubah besar","Harga berubah")))))))))))))</f>
        <v/>
      </c>
      <c r="O193" s="18" t="n"/>
      <c r="P193" s="18" t="n"/>
      <c r="Q193" s="26" t="n"/>
    </row>
    <row r="194">
      <c r="A194" s="17" t="n"/>
      <c r="B194" s="18" t="n"/>
      <c r="C194" s="19" t="n"/>
      <c r="D194" s="19" t="n"/>
      <c r="E194" s="19" t="n"/>
      <c r="F194" s="20" t="n"/>
      <c r="G194" s="21" t="n"/>
      <c r="H194" s="20" t="n"/>
      <c r="I194" s="22">
        <f>IF(ISNUMBER(H194),H194,IF(AND(ISNUMBER(F194),ISNUMBER(G194)),CEILING(ROUND(F194*(1+G194),2),1000),""))</f>
        <v/>
      </c>
      <c r="J194" s="22">
        <f>IF(AND(ISNUMBER(I194),ISNUMBER(F194)),I194-F194,"")</f>
        <v/>
      </c>
      <c r="K194" s="23">
        <f>IF(AND(ISNUMBER(I194),ISNUMBER(F194)),IF(I194=0,"",(I194-F194)/I194),"")</f>
        <v/>
      </c>
      <c r="L194" s="22" t="n"/>
      <c r="M194" s="24">
        <f>IF(AND(ISNUMBER(I194),ISNUMBER(L194)),I194-L194,"")</f>
        <v/>
      </c>
      <c r="N194" s="25">
        <f>IF(AND(C194="",E194=""),"",IF(AND(H194&lt;&gt;"",NOT(ISNUMBER(H194))),"Cek Harga Manual",IF(AND(F194="-",NOT(ISNUMBER(H194))),"Isi Harga Manual",IF(F194="-","HPP akan dihapus",IF(AND(F194&lt;&gt;"",NOT(ISNUMBER(F194))),"Cek HPP",IF(AND(ISNUMBER(G194),OR(G194&lt;0,G194&gt;20)),"Cek Markup",IF(NOT(ISNUMBER(I194)),"Harga belum ada",IF(F194="","HPP kosong",IF(F194=0,"HPP 0, cek",IF(I194&lt;=F194,"RUGI / impas",IF(NOT(ISNUMBER(L194)),"Baru",IF(M194=0,"OK",IF(ABS(M194)&gt;=0.3*L194,"Berubah besar","Harga berubah")))))))))))))</f>
        <v/>
      </c>
      <c r="O194" s="18" t="n"/>
      <c r="P194" s="18" t="n"/>
      <c r="Q194" s="26" t="n"/>
    </row>
    <row r="195">
      <c r="A195" s="17" t="n"/>
      <c r="B195" s="18" t="n"/>
      <c r="C195" s="19" t="n"/>
      <c r="D195" s="19" t="n"/>
      <c r="E195" s="19" t="n"/>
      <c r="F195" s="20" t="n"/>
      <c r="G195" s="21" t="n"/>
      <c r="H195" s="20" t="n"/>
      <c r="I195" s="22">
        <f>IF(ISNUMBER(H195),H195,IF(AND(ISNUMBER(F195),ISNUMBER(G195)),CEILING(ROUND(F195*(1+G195),2),1000),""))</f>
        <v/>
      </c>
      <c r="J195" s="22">
        <f>IF(AND(ISNUMBER(I195),ISNUMBER(F195)),I195-F195,"")</f>
        <v/>
      </c>
      <c r="K195" s="23">
        <f>IF(AND(ISNUMBER(I195),ISNUMBER(F195)),IF(I195=0,"",(I195-F195)/I195),"")</f>
        <v/>
      </c>
      <c r="L195" s="22" t="n"/>
      <c r="M195" s="24">
        <f>IF(AND(ISNUMBER(I195),ISNUMBER(L195)),I195-L195,"")</f>
        <v/>
      </c>
      <c r="N195" s="25">
        <f>IF(AND(C195="",E195=""),"",IF(AND(H195&lt;&gt;"",NOT(ISNUMBER(H195))),"Cek Harga Manual",IF(AND(F195="-",NOT(ISNUMBER(H195))),"Isi Harga Manual",IF(F195="-","HPP akan dihapus",IF(AND(F195&lt;&gt;"",NOT(ISNUMBER(F195))),"Cek HPP",IF(AND(ISNUMBER(G195),OR(G195&lt;0,G195&gt;20)),"Cek Markup",IF(NOT(ISNUMBER(I195)),"Harga belum ada",IF(F195="","HPP kosong",IF(F195=0,"HPP 0, cek",IF(I195&lt;=F195,"RUGI / impas",IF(NOT(ISNUMBER(L195)),"Baru",IF(M195=0,"OK",IF(ABS(M195)&gt;=0.3*L195,"Berubah besar","Harga berubah")))))))))))))</f>
        <v/>
      </c>
      <c r="O195" s="18" t="n"/>
      <c r="P195" s="18" t="n"/>
      <c r="Q195" s="26" t="n"/>
    </row>
    <row r="196">
      <c r="A196" s="17" t="n"/>
      <c r="B196" s="18" t="n"/>
      <c r="C196" s="19" t="n"/>
      <c r="D196" s="19" t="n"/>
      <c r="E196" s="19" t="n"/>
      <c r="F196" s="20" t="n"/>
      <c r="G196" s="21" t="n"/>
      <c r="H196" s="20" t="n"/>
      <c r="I196" s="22">
        <f>IF(ISNUMBER(H196),H196,IF(AND(ISNUMBER(F196),ISNUMBER(G196)),CEILING(ROUND(F196*(1+G196),2),1000),""))</f>
        <v/>
      </c>
      <c r="J196" s="22">
        <f>IF(AND(ISNUMBER(I196),ISNUMBER(F196)),I196-F196,"")</f>
        <v/>
      </c>
      <c r="K196" s="23">
        <f>IF(AND(ISNUMBER(I196),ISNUMBER(F196)),IF(I196=0,"",(I196-F196)/I196),"")</f>
        <v/>
      </c>
      <c r="L196" s="22" t="n"/>
      <c r="M196" s="24">
        <f>IF(AND(ISNUMBER(I196),ISNUMBER(L196)),I196-L196,"")</f>
        <v/>
      </c>
      <c r="N196" s="25">
        <f>IF(AND(C196="",E196=""),"",IF(AND(H196&lt;&gt;"",NOT(ISNUMBER(H196))),"Cek Harga Manual",IF(AND(F196="-",NOT(ISNUMBER(H196))),"Isi Harga Manual",IF(F196="-","HPP akan dihapus",IF(AND(F196&lt;&gt;"",NOT(ISNUMBER(F196))),"Cek HPP",IF(AND(ISNUMBER(G196),OR(G196&lt;0,G196&gt;20)),"Cek Markup",IF(NOT(ISNUMBER(I196)),"Harga belum ada",IF(F196="","HPP kosong",IF(F196=0,"HPP 0, cek",IF(I196&lt;=F196,"RUGI / impas",IF(NOT(ISNUMBER(L196)),"Baru",IF(M196=0,"OK",IF(ABS(M196)&gt;=0.3*L196,"Berubah besar","Harga berubah")))))))))))))</f>
        <v/>
      </c>
      <c r="O196" s="18" t="n"/>
      <c r="P196" s="18" t="n"/>
      <c r="Q196" s="26" t="n"/>
    </row>
    <row r="197">
      <c r="A197" s="17" t="n"/>
      <c r="B197" s="18" t="n"/>
      <c r="C197" s="19" t="n"/>
      <c r="D197" s="19" t="n"/>
      <c r="E197" s="19" t="n"/>
      <c r="F197" s="20" t="n"/>
      <c r="G197" s="21" t="n"/>
      <c r="H197" s="20" t="n"/>
      <c r="I197" s="22">
        <f>IF(ISNUMBER(H197),H197,IF(AND(ISNUMBER(F197),ISNUMBER(G197)),CEILING(ROUND(F197*(1+G197),2),1000),""))</f>
        <v/>
      </c>
      <c r="J197" s="22">
        <f>IF(AND(ISNUMBER(I197),ISNUMBER(F197)),I197-F197,"")</f>
        <v/>
      </c>
      <c r="K197" s="23">
        <f>IF(AND(ISNUMBER(I197),ISNUMBER(F197)),IF(I197=0,"",(I197-F197)/I197),"")</f>
        <v/>
      </c>
      <c r="L197" s="22" t="n"/>
      <c r="M197" s="24">
        <f>IF(AND(ISNUMBER(I197),ISNUMBER(L197)),I197-L197,"")</f>
        <v/>
      </c>
      <c r="N197" s="25">
        <f>IF(AND(C197="",E197=""),"",IF(AND(H197&lt;&gt;"",NOT(ISNUMBER(H197))),"Cek Harga Manual",IF(AND(F197="-",NOT(ISNUMBER(H197))),"Isi Harga Manual",IF(F197="-","HPP akan dihapus",IF(AND(F197&lt;&gt;"",NOT(ISNUMBER(F197))),"Cek HPP",IF(AND(ISNUMBER(G197),OR(G197&lt;0,G197&gt;20)),"Cek Markup",IF(NOT(ISNUMBER(I197)),"Harga belum ada",IF(F197="","HPP kosong",IF(F197=0,"HPP 0, cek",IF(I197&lt;=F197,"RUGI / impas",IF(NOT(ISNUMBER(L197)),"Baru",IF(M197=0,"OK",IF(ABS(M197)&gt;=0.3*L197,"Berubah besar","Harga berubah")))))))))))))</f>
        <v/>
      </c>
      <c r="O197" s="18" t="n"/>
      <c r="P197" s="18" t="n"/>
      <c r="Q197" s="26" t="n"/>
    </row>
    <row r="198">
      <c r="A198" s="17" t="n"/>
      <c r="B198" s="18" t="n"/>
      <c r="C198" s="19" t="n"/>
      <c r="D198" s="19" t="n"/>
      <c r="E198" s="19" t="n"/>
      <c r="F198" s="20" t="n"/>
      <c r="G198" s="21" t="n"/>
      <c r="H198" s="20" t="n"/>
      <c r="I198" s="22">
        <f>IF(ISNUMBER(H198),H198,IF(AND(ISNUMBER(F198),ISNUMBER(G198)),CEILING(ROUND(F198*(1+G198),2),1000),""))</f>
        <v/>
      </c>
      <c r="J198" s="22">
        <f>IF(AND(ISNUMBER(I198),ISNUMBER(F198)),I198-F198,"")</f>
        <v/>
      </c>
      <c r="K198" s="23">
        <f>IF(AND(ISNUMBER(I198),ISNUMBER(F198)),IF(I198=0,"",(I198-F198)/I198),"")</f>
        <v/>
      </c>
      <c r="L198" s="22" t="n"/>
      <c r="M198" s="24">
        <f>IF(AND(ISNUMBER(I198),ISNUMBER(L198)),I198-L198,"")</f>
        <v/>
      </c>
      <c r="N198" s="25">
        <f>IF(AND(C198="",E198=""),"",IF(AND(H198&lt;&gt;"",NOT(ISNUMBER(H198))),"Cek Harga Manual",IF(AND(F198="-",NOT(ISNUMBER(H198))),"Isi Harga Manual",IF(F198="-","HPP akan dihapus",IF(AND(F198&lt;&gt;"",NOT(ISNUMBER(F198))),"Cek HPP",IF(AND(ISNUMBER(G198),OR(G198&lt;0,G198&gt;20)),"Cek Markup",IF(NOT(ISNUMBER(I198)),"Harga belum ada",IF(F198="","HPP kosong",IF(F198=0,"HPP 0, cek",IF(I198&lt;=F198,"RUGI / impas",IF(NOT(ISNUMBER(L198)),"Baru",IF(M198=0,"OK",IF(ABS(M198)&gt;=0.3*L198,"Berubah besar","Harga berubah")))))))))))))</f>
        <v/>
      </c>
      <c r="O198" s="18" t="n"/>
      <c r="P198" s="18" t="n"/>
      <c r="Q198" s="26" t="n"/>
    </row>
    <row r="199">
      <c r="A199" s="17" t="n"/>
      <c r="B199" s="18" t="n"/>
      <c r="C199" s="19" t="n"/>
      <c r="D199" s="19" t="n"/>
      <c r="E199" s="19" t="n"/>
      <c r="F199" s="20" t="n"/>
      <c r="G199" s="21" t="n"/>
      <c r="H199" s="20" t="n"/>
      <c r="I199" s="22">
        <f>IF(ISNUMBER(H199),H199,IF(AND(ISNUMBER(F199),ISNUMBER(G199)),CEILING(ROUND(F199*(1+G199),2),1000),""))</f>
        <v/>
      </c>
      <c r="J199" s="22">
        <f>IF(AND(ISNUMBER(I199),ISNUMBER(F199)),I199-F199,"")</f>
        <v/>
      </c>
      <c r="K199" s="23">
        <f>IF(AND(ISNUMBER(I199),ISNUMBER(F199)),IF(I199=0,"",(I199-F199)/I199),"")</f>
        <v/>
      </c>
      <c r="L199" s="22" t="n"/>
      <c r="M199" s="24">
        <f>IF(AND(ISNUMBER(I199),ISNUMBER(L199)),I199-L199,"")</f>
        <v/>
      </c>
      <c r="N199" s="25">
        <f>IF(AND(C199="",E199=""),"",IF(AND(H199&lt;&gt;"",NOT(ISNUMBER(H199))),"Cek Harga Manual",IF(AND(F199="-",NOT(ISNUMBER(H199))),"Isi Harga Manual",IF(F199="-","HPP akan dihapus",IF(AND(F199&lt;&gt;"",NOT(ISNUMBER(F199))),"Cek HPP",IF(AND(ISNUMBER(G199),OR(G199&lt;0,G199&gt;20)),"Cek Markup",IF(NOT(ISNUMBER(I199)),"Harga belum ada",IF(F199="","HPP kosong",IF(F199=0,"HPP 0, cek",IF(I199&lt;=F199,"RUGI / impas",IF(NOT(ISNUMBER(L199)),"Baru",IF(M199=0,"OK",IF(ABS(M199)&gt;=0.3*L199,"Berubah besar","Harga berubah")))))))))))))</f>
        <v/>
      </c>
      <c r="O199" s="18" t="n"/>
      <c r="P199" s="18" t="n"/>
      <c r="Q199" s="26" t="n"/>
    </row>
    <row r="200">
      <c r="A200" s="17" t="n"/>
      <c r="B200" s="18" t="n"/>
      <c r="C200" s="19" t="n"/>
      <c r="D200" s="19" t="n"/>
      <c r="E200" s="19" t="n"/>
      <c r="F200" s="20" t="n"/>
      <c r="G200" s="21" t="n"/>
      <c r="H200" s="20" t="n"/>
      <c r="I200" s="22">
        <f>IF(ISNUMBER(H200),H200,IF(AND(ISNUMBER(F200),ISNUMBER(G200)),CEILING(ROUND(F200*(1+G200),2),1000),""))</f>
        <v/>
      </c>
      <c r="J200" s="22">
        <f>IF(AND(ISNUMBER(I200),ISNUMBER(F200)),I200-F200,"")</f>
        <v/>
      </c>
      <c r="K200" s="23">
        <f>IF(AND(ISNUMBER(I200),ISNUMBER(F200)),IF(I200=0,"",(I200-F200)/I200),"")</f>
        <v/>
      </c>
      <c r="L200" s="22" t="n"/>
      <c r="M200" s="24">
        <f>IF(AND(ISNUMBER(I200),ISNUMBER(L200)),I200-L200,"")</f>
        <v/>
      </c>
      <c r="N200" s="25">
        <f>IF(AND(C200="",E200=""),"",IF(AND(H200&lt;&gt;"",NOT(ISNUMBER(H200))),"Cek Harga Manual",IF(AND(F200="-",NOT(ISNUMBER(H200))),"Isi Harga Manual",IF(F200="-","HPP akan dihapus",IF(AND(F200&lt;&gt;"",NOT(ISNUMBER(F200))),"Cek HPP",IF(AND(ISNUMBER(G200),OR(G200&lt;0,G200&gt;20)),"Cek Markup",IF(NOT(ISNUMBER(I200)),"Harga belum ada",IF(F200="","HPP kosong",IF(F200=0,"HPP 0, cek",IF(I200&lt;=F200,"RUGI / impas",IF(NOT(ISNUMBER(L200)),"Baru",IF(M200=0,"OK",IF(ABS(M200)&gt;=0.3*L200,"Berubah besar","Harga berubah")))))))))))))</f>
        <v/>
      </c>
      <c r="O200" s="18" t="n"/>
      <c r="P200" s="18" t="n"/>
      <c r="Q200" s="26" t="n"/>
    </row>
    <row r="201">
      <c r="A201" s="17" t="n"/>
      <c r="B201" s="18" t="n"/>
      <c r="C201" s="19" t="n"/>
      <c r="D201" s="19" t="n"/>
      <c r="E201" s="19" t="n"/>
      <c r="F201" s="20" t="n"/>
      <c r="G201" s="21" t="n"/>
      <c r="H201" s="20" t="n"/>
      <c r="I201" s="22">
        <f>IF(ISNUMBER(H201),H201,IF(AND(ISNUMBER(F201),ISNUMBER(G201)),CEILING(ROUND(F201*(1+G201),2),1000),""))</f>
        <v/>
      </c>
      <c r="J201" s="22">
        <f>IF(AND(ISNUMBER(I201),ISNUMBER(F201)),I201-F201,"")</f>
        <v/>
      </c>
      <c r="K201" s="23">
        <f>IF(AND(ISNUMBER(I201),ISNUMBER(F201)),IF(I201=0,"",(I201-F201)/I201),"")</f>
        <v/>
      </c>
      <c r="L201" s="22" t="n"/>
      <c r="M201" s="24">
        <f>IF(AND(ISNUMBER(I201),ISNUMBER(L201)),I201-L201,"")</f>
        <v/>
      </c>
      <c r="N201" s="25">
        <f>IF(AND(C201="",E201=""),"",IF(AND(H201&lt;&gt;"",NOT(ISNUMBER(H201))),"Cek Harga Manual",IF(AND(F201="-",NOT(ISNUMBER(H201))),"Isi Harga Manual",IF(F201="-","HPP akan dihapus",IF(AND(F201&lt;&gt;"",NOT(ISNUMBER(F201))),"Cek HPP",IF(AND(ISNUMBER(G201),OR(G201&lt;0,G201&gt;20)),"Cek Markup",IF(NOT(ISNUMBER(I201)),"Harga belum ada",IF(F201="","HPP kosong",IF(F201=0,"HPP 0, cek",IF(I201&lt;=F201,"RUGI / impas",IF(NOT(ISNUMBER(L201)),"Baru",IF(M201=0,"OK",IF(ABS(M201)&gt;=0.3*L201,"Berubah besar","Harga berubah")))))))))))))</f>
        <v/>
      </c>
      <c r="O201" s="18" t="n"/>
      <c r="P201" s="18" t="n"/>
      <c r="Q201" s="26" t="n"/>
    </row>
    <row r="202">
      <c r="A202" s="17" t="n"/>
      <c r="B202" s="18" t="n"/>
      <c r="C202" s="19" t="n"/>
      <c r="D202" s="19" t="n"/>
      <c r="E202" s="19" t="n"/>
      <c r="F202" s="20" t="n"/>
      <c r="G202" s="21" t="n"/>
      <c r="H202" s="20" t="n"/>
      <c r="I202" s="22">
        <f>IF(ISNUMBER(H202),H202,IF(AND(ISNUMBER(F202),ISNUMBER(G202)),CEILING(ROUND(F202*(1+G202),2),1000),""))</f>
        <v/>
      </c>
      <c r="J202" s="22">
        <f>IF(AND(ISNUMBER(I202),ISNUMBER(F202)),I202-F202,"")</f>
        <v/>
      </c>
      <c r="K202" s="23">
        <f>IF(AND(ISNUMBER(I202),ISNUMBER(F202)),IF(I202=0,"",(I202-F202)/I202),"")</f>
        <v/>
      </c>
      <c r="L202" s="22" t="n"/>
      <c r="M202" s="24">
        <f>IF(AND(ISNUMBER(I202),ISNUMBER(L202)),I202-L202,"")</f>
        <v/>
      </c>
      <c r="N202" s="25">
        <f>IF(AND(C202="",E202=""),"",IF(AND(H202&lt;&gt;"",NOT(ISNUMBER(H202))),"Cek Harga Manual",IF(AND(F202="-",NOT(ISNUMBER(H202))),"Isi Harga Manual",IF(F202="-","HPP akan dihapus",IF(AND(F202&lt;&gt;"",NOT(ISNUMBER(F202))),"Cek HPP",IF(AND(ISNUMBER(G202),OR(G202&lt;0,G202&gt;20)),"Cek Markup",IF(NOT(ISNUMBER(I202)),"Harga belum ada",IF(F202="","HPP kosong",IF(F202=0,"HPP 0, cek",IF(I202&lt;=F202,"RUGI / impas",IF(NOT(ISNUMBER(L202)),"Baru",IF(M202=0,"OK",IF(ABS(M202)&gt;=0.3*L202,"Berubah besar","Harga berubah")))))))))))))</f>
        <v/>
      </c>
      <c r="O202" s="18" t="n"/>
      <c r="P202" s="18" t="n"/>
      <c r="Q202" s="26" t="n"/>
    </row>
    <row r="203">
      <c r="A203" s="17" t="n"/>
      <c r="B203" s="18" t="n"/>
      <c r="C203" s="19" t="n"/>
      <c r="D203" s="19" t="n"/>
      <c r="E203" s="19" t="n"/>
      <c r="F203" s="20" t="n"/>
      <c r="G203" s="21" t="n"/>
      <c r="H203" s="20" t="n"/>
      <c r="I203" s="22">
        <f>IF(ISNUMBER(H203),H203,IF(AND(ISNUMBER(F203),ISNUMBER(G203)),CEILING(ROUND(F203*(1+G203),2),1000),""))</f>
        <v/>
      </c>
      <c r="J203" s="22">
        <f>IF(AND(ISNUMBER(I203),ISNUMBER(F203)),I203-F203,"")</f>
        <v/>
      </c>
      <c r="K203" s="23">
        <f>IF(AND(ISNUMBER(I203),ISNUMBER(F203)),IF(I203=0,"",(I203-F203)/I203),"")</f>
        <v/>
      </c>
      <c r="L203" s="22" t="n"/>
      <c r="M203" s="24">
        <f>IF(AND(ISNUMBER(I203),ISNUMBER(L203)),I203-L203,"")</f>
        <v/>
      </c>
      <c r="N203" s="25">
        <f>IF(AND(C203="",E203=""),"",IF(AND(H203&lt;&gt;"",NOT(ISNUMBER(H203))),"Cek Harga Manual",IF(AND(F203="-",NOT(ISNUMBER(H203))),"Isi Harga Manual",IF(F203="-","HPP akan dihapus",IF(AND(F203&lt;&gt;"",NOT(ISNUMBER(F203))),"Cek HPP",IF(AND(ISNUMBER(G203),OR(G203&lt;0,G203&gt;20)),"Cek Markup",IF(NOT(ISNUMBER(I203)),"Harga belum ada",IF(F203="","HPP kosong",IF(F203=0,"HPP 0, cek",IF(I203&lt;=F203,"RUGI / impas",IF(NOT(ISNUMBER(L203)),"Baru",IF(M203=0,"OK",IF(ABS(M203)&gt;=0.3*L203,"Berubah besar","Harga berubah")))))))))))))</f>
        <v/>
      </c>
      <c r="O203" s="18" t="n"/>
      <c r="P203" s="18" t="n"/>
      <c r="Q203" s="26" t="n"/>
    </row>
    <row r="204">
      <c r="A204" s="17" t="n"/>
      <c r="B204" s="18" t="n"/>
      <c r="C204" s="19" t="n"/>
      <c r="D204" s="19" t="n"/>
      <c r="E204" s="19" t="n"/>
      <c r="F204" s="20" t="n"/>
      <c r="G204" s="21" t="n"/>
      <c r="H204" s="20" t="n"/>
      <c r="I204" s="22">
        <f>IF(ISNUMBER(H204),H204,IF(AND(ISNUMBER(F204),ISNUMBER(G204)),CEILING(ROUND(F204*(1+G204),2),1000),""))</f>
        <v/>
      </c>
      <c r="J204" s="22">
        <f>IF(AND(ISNUMBER(I204),ISNUMBER(F204)),I204-F204,"")</f>
        <v/>
      </c>
      <c r="K204" s="23">
        <f>IF(AND(ISNUMBER(I204),ISNUMBER(F204)),IF(I204=0,"",(I204-F204)/I204),"")</f>
        <v/>
      </c>
      <c r="L204" s="22" t="n"/>
      <c r="M204" s="24">
        <f>IF(AND(ISNUMBER(I204),ISNUMBER(L204)),I204-L204,"")</f>
        <v/>
      </c>
      <c r="N204" s="25">
        <f>IF(AND(C204="",E204=""),"",IF(AND(H204&lt;&gt;"",NOT(ISNUMBER(H204))),"Cek Harga Manual",IF(AND(F204="-",NOT(ISNUMBER(H204))),"Isi Harga Manual",IF(F204="-","HPP akan dihapus",IF(AND(F204&lt;&gt;"",NOT(ISNUMBER(F204))),"Cek HPP",IF(AND(ISNUMBER(G204),OR(G204&lt;0,G204&gt;20)),"Cek Markup",IF(NOT(ISNUMBER(I204)),"Harga belum ada",IF(F204="","HPP kosong",IF(F204=0,"HPP 0, cek",IF(I204&lt;=F204,"RUGI / impas",IF(NOT(ISNUMBER(L204)),"Baru",IF(M204=0,"OK",IF(ABS(M204)&gt;=0.3*L204,"Berubah besar","Harga berubah")))))))))))))</f>
        <v/>
      </c>
      <c r="O204" s="18" t="n"/>
      <c r="P204" s="18" t="n"/>
      <c r="Q204" s="26" t="n"/>
    </row>
    <row r="205">
      <c r="A205" s="17" t="n"/>
      <c r="B205" s="18" t="n"/>
      <c r="C205" s="19" t="n"/>
      <c r="D205" s="19" t="n"/>
      <c r="E205" s="19" t="n"/>
      <c r="F205" s="20" t="n"/>
      <c r="G205" s="21" t="n"/>
      <c r="H205" s="20" t="n"/>
      <c r="I205" s="22">
        <f>IF(ISNUMBER(H205),H205,IF(AND(ISNUMBER(F205),ISNUMBER(G205)),CEILING(ROUND(F205*(1+G205),2),1000),""))</f>
        <v/>
      </c>
      <c r="J205" s="22">
        <f>IF(AND(ISNUMBER(I205),ISNUMBER(F205)),I205-F205,"")</f>
        <v/>
      </c>
      <c r="K205" s="23">
        <f>IF(AND(ISNUMBER(I205),ISNUMBER(F205)),IF(I205=0,"",(I205-F205)/I205),"")</f>
        <v/>
      </c>
      <c r="L205" s="22" t="n"/>
      <c r="M205" s="24">
        <f>IF(AND(ISNUMBER(I205),ISNUMBER(L205)),I205-L205,"")</f>
        <v/>
      </c>
      <c r="N205" s="25">
        <f>IF(AND(C205="",E205=""),"",IF(AND(H205&lt;&gt;"",NOT(ISNUMBER(H205))),"Cek Harga Manual",IF(AND(F205="-",NOT(ISNUMBER(H205))),"Isi Harga Manual",IF(F205="-","HPP akan dihapus",IF(AND(F205&lt;&gt;"",NOT(ISNUMBER(F205))),"Cek HPP",IF(AND(ISNUMBER(G205),OR(G205&lt;0,G205&gt;20)),"Cek Markup",IF(NOT(ISNUMBER(I205)),"Harga belum ada",IF(F205="","HPP kosong",IF(F205=0,"HPP 0, cek",IF(I205&lt;=F205,"RUGI / impas",IF(NOT(ISNUMBER(L205)),"Baru",IF(M205=0,"OK",IF(ABS(M205)&gt;=0.3*L205,"Berubah besar","Harga berubah")))))))))))))</f>
        <v/>
      </c>
      <c r="O205" s="18" t="n"/>
      <c r="P205" s="18" t="n"/>
      <c r="Q205" s="26" t="n"/>
    </row>
    <row r="206">
      <c r="A206" s="17" t="n"/>
      <c r="B206" s="18" t="n"/>
      <c r="C206" s="19" t="n"/>
      <c r="D206" s="19" t="n"/>
      <c r="E206" s="19" t="n"/>
      <c r="F206" s="20" t="n"/>
      <c r="G206" s="21" t="n"/>
      <c r="H206" s="20" t="n"/>
      <c r="I206" s="22">
        <f>IF(ISNUMBER(H206),H206,IF(AND(ISNUMBER(F206),ISNUMBER(G206)),CEILING(ROUND(F206*(1+G206),2),1000),""))</f>
        <v/>
      </c>
      <c r="J206" s="22">
        <f>IF(AND(ISNUMBER(I206),ISNUMBER(F206)),I206-F206,"")</f>
        <v/>
      </c>
      <c r="K206" s="23">
        <f>IF(AND(ISNUMBER(I206),ISNUMBER(F206)),IF(I206=0,"",(I206-F206)/I206),"")</f>
        <v/>
      </c>
      <c r="L206" s="22" t="n"/>
      <c r="M206" s="24">
        <f>IF(AND(ISNUMBER(I206),ISNUMBER(L206)),I206-L206,"")</f>
        <v/>
      </c>
      <c r="N206" s="25">
        <f>IF(AND(C206="",E206=""),"",IF(AND(H206&lt;&gt;"",NOT(ISNUMBER(H206))),"Cek Harga Manual",IF(AND(F206="-",NOT(ISNUMBER(H206))),"Isi Harga Manual",IF(F206="-","HPP akan dihapus",IF(AND(F206&lt;&gt;"",NOT(ISNUMBER(F206))),"Cek HPP",IF(AND(ISNUMBER(G206),OR(G206&lt;0,G206&gt;20)),"Cek Markup",IF(NOT(ISNUMBER(I206)),"Harga belum ada",IF(F206="","HPP kosong",IF(F206=0,"HPP 0, cek",IF(I206&lt;=F206,"RUGI / impas",IF(NOT(ISNUMBER(L206)),"Baru",IF(M206=0,"OK",IF(ABS(M206)&gt;=0.3*L206,"Berubah besar","Harga berubah")))))))))))))</f>
        <v/>
      </c>
      <c r="O206" s="18" t="n"/>
      <c r="P206" s="18" t="n"/>
      <c r="Q206" s="26" t="n"/>
    </row>
    <row r="207">
      <c r="A207" s="17" t="n"/>
      <c r="B207" s="18" t="n"/>
      <c r="C207" s="19" t="n"/>
      <c r="D207" s="19" t="n"/>
      <c r="E207" s="19" t="n"/>
      <c r="F207" s="20" t="n"/>
      <c r="G207" s="21" t="n"/>
      <c r="H207" s="20" t="n"/>
      <c r="I207" s="22">
        <f>IF(ISNUMBER(H207),H207,IF(AND(ISNUMBER(F207),ISNUMBER(G207)),CEILING(ROUND(F207*(1+G207),2),1000),""))</f>
        <v/>
      </c>
      <c r="J207" s="22">
        <f>IF(AND(ISNUMBER(I207),ISNUMBER(F207)),I207-F207,"")</f>
        <v/>
      </c>
      <c r="K207" s="23">
        <f>IF(AND(ISNUMBER(I207),ISNUMBER(F207)),IF(I207=0,"",(I207-F207)/I207),"")</f>
        <v/>
      </c>
      <c r="L207" s="22" t="n"/>
      <c r="M207" s="24">
        <f>IF(AND(ISNUMBER(I207),ISNUMBER(L207)),I207-L207,"")</f>
        <v/>
      </c>
      <c r="N207" s="25">
        <f>IF(AND(C207="",E207=""),"",IF(AND(H207&lt;&gt;"",NOT(ISNUMBER(H207))),"Cek Harga Manual",IF(AND(F207="-",NOT(ISNUMBER(H207))),"Isi Harga Manual",IF(F207="-","HPP akan dihapus",IF(AND(F207&lt;&gt;"",NOT(ISNUMBER(F207))),"Cek HPP",IF(AND(ISNUMBER(G207),OR(G207&lt;0,G207&gt;20)),"Cek Markup",IF(NOT(ISNUMBER(I207)),"Harga belum ada",IF(F207="","HPP kosong",IF(F207=0,"HPP 0, cek",IF(I207&lt;=F207,"RUGI / impas",IF(NOT(ISNUMBER(L207)),"Baru",IF(M207=0,"OK",IF(ABS(M207)&gt;=0.3*L207,"Berubah besar","Harga berubah")))))))))))))</f>
        <v/>
      </c>
      <c r="O207" s="18" t="n"/>
      <c r="P207" s="18" t="n"/>
      <c r="Q207" s="26" t="n"/>
    </row>
    <row r="208">
      <c r="A208" s="17" t="n"/>
      <c r="B208" s="18" t="n"/>
      <c r="C208" s="19" t="n"/>
      <c r="D208" s="19" t="n"/>
      <c r="E208" s="19" t="n"/>
      <c r="F208" s="20" t="n"/>
      <c r="G208" s="21" t="n"/>
      <c r="H208" s="20" t="n"/>
      <c r="I208" s="22">
        <f>IF(ISNUMBER(H208),H208,IF(AND(ISNUMBER(F208),ISNUMBER(G208)),CEILING(ROUND(F208*(1+G208),2),1000),""))</f>
        <v/>
      </c>
      <c r="J208" s="22">
        <f>IF(AND(ISNUMBER(I208),ISNUMBER(F208)),I208-F208,"")</f>
        <v/>
      </c>
      <c r="K208" s="23">
        <f>IF(AND(ISNUMBER(I208),ISNUMBER(F208)),IF(I208=0,"",(I208-F208)/I208),"")</f>
        <v/>
      </c>
      <c r="L208" s="22" t="n"/>
      <c r="M208" s="24">
        <f>IF(AND(ISNUMBER(I208),ISNUMBER(L208)),I208-L208,"")</f>
        <v/>
      </c>
      <c r="N208" s="25">
        <f>IF(AND(C208="",E208=""),"",IF(AND(H208&lt;&gt;"",NOT(ISNUMBER(H208))),"Cek Harga Manual",IF(AND(F208="-",NOT(ISNUMBER(H208))),"Isi Harga Manual",IF(F208="-","HPP akan dihapus",IF(AND(F208&lt;&gt;"",NOT(ISNUMBER(F208))),"Cek HPP",IF(AND(ISNUMBER(G208),OR(G208&lt;0,G208&gt;20)),"Cek Markup",IF(NOT(ISNUMBER(I208)),"Harga belum ada",IF(F208="","HPP kosong",IF(F208=0,"HPP 0, cek",IF(I208&lt;=F208,"RUGI / impas",IF(NOT(ISNUMBER(L208)),"Baru",IF(M208=0,"OK",IF(ABS(M208)&gt;=0.3*L208,"Berubah besar","Harga berubah")))))))))))))</f>
        <v/>
      </c>
      <c r="O208" s="18" t="n"/>
      <c r="P208" s="18" t="n"/>
      <c r="Q208" s="26" t="n"/>
    </row>
    <row r="209">
      <c r="A209" s="17" t="n"/>
      <c r="B209" s="18" t="n"/>
      <c r="C209" s="19" t="n"/>
      <c r="D209" s="19" t="n"/>
      <c r="E209" s="19" t="n"/>
      <c r="F209" s="20" t="n"/>
      <c r="G209" s="21" t="n"/>
      <c r="H209" s="20" t="n"/>
      <c r="I209" s="22">
        <f>IF(ISNUMBER(H209),H209,IF(AND(ISNUMBER(F209),ISNUMBER(G209)),CEILING(ROUND(F209*(1+G209),2),1000),""))</f>
        <v/>
      </c>
      <c r="J209" s="22">
        <f>IF(AND(ISNUMBER(I209),ISNUMBER(F209)),I209-F209,"")</f>
        <v/>
      </c>
      <c r="K209" s="23">
        <f>IF(AND(ISNUMBER(I209),ISNUMBER(F209)),IF(I209=0,"",(I209-F209)/I209),"")</f>
        <v/>
      </c>
      <c r="L209" s="22" t="n"/>
      <c r="M209" s="24">
        <f>IF(AND(ISNUMBER(I209),ISNUMBER(L209)),I209-L209,"")</f>
        <v/>
      </c>
      <c r="N209" s="25">
        <f>IF(AND(C209="",E209=""),"",IF(AND(H209&lt;&gt;"",NOT(ISNUMBER(H209))),"Cek Harga Manual",IF(AND(F209="-",NOT(ISNUMBER(H209))),"Isi Harga Manual",IF(F209="-","HPP akan dihapus",IF(AND(F209&lt;&gt;"",NOT(ISNUMBER(F209))),"Cek HPP",IF(AND(ISNUMBER(G209),OR(G209&lt;0,G209&gt;20)),"Cek Markup",IF(NOT(ISNUMBER(I209)),"Harga belum ada",IF(F209="","HPP kosong",IF(F209=0,"HPP 0, cek",IF(I209&lt;=F209,"RUGI / impas",IF(NOT(ISNUMBER(L209)),"Baru",IF(M209=0,"OK",IF(ABS(M209)&gt;=0.3*L209,"Berubah besar","Harga berubah")))))))))))))</f>
        <v/>
      </c>
      <c r="O209" s="18" t="n"/>
      <c r="P209" s="18" t="n"/>
      <c r="Q209" s="26" t="n"/>
    </row>
    <row r="210">
      <c r="A210" s="17" t="n"/>
      <c r="B210" s="18" t="n"/>
      <c r="C210" s="19" t="n"/>
      <c r="D210" s="19" t="n"/>
      <c r="E210" s="19" t="n"/>
      <c r="F210" s="20" t="n"/>
      <c r="G210" s="21" t="n"/>
      <c r="H210" s="20" t="n"/>
      <c r="I210" s="22">
        <f>IF(ISNUMBER(H210),H210,IF(AND(ISNUMBER(F210),ISNUMBER(G210)),CEILING(ROUND(F210*(1+G210),2),1000),""))</f>
        <v/>
      </c>
      <c r="J210" s="22">
        <f>IF(AND(ISNUMBER(I210),ISNUMBER(F210)),I210-F210,"")</f>
        <v/>
      </c>
      <c r="K210" s="23">
        <f>IF(AND(ISNUMBER(I210),ISNUMBER(F210)),IF(I210=0,"",(I210-F210)/I210),"")</f>
        <v/>
      </c>
      <c r="L210" s="22" t="n"/>
      <c r="M210" s="24">
        <f>IF(AND(ISNUMBER(I210),ISNUMBER(L210)),I210-L210,"")</f>
        <v/>
      </c>
      <c r="N210" s="25">
        <f>IF(AND(C210="",E210=""),"",IF(AND(H210&lt;&gt;"",NOT(ISNUMBER(H210))),"Cek Harga Manual",IF(AND(F210="-",NOT(ISNUMBER(H210))),"Isi Harga Manual",IF(F210="-","HPP akan dihapus",IF(AND(F210&lt;&gt;"",NOT(ISNUMBER(F210))),"Cek HPP",IF(AND(ISNUMBER(G210),OR(G210&lt;0,G210&gt;20)),"Cek Markup",IF(NOT(ISNUMBER(I210)),"Harga belum ada",IF(F210="","HPP kosong",IF(F210=0,"HPP 0, cek",IF(I210&lt;=F210,"RUGI / impas",IF(NOT(ISNUMBER(L210)),"Baru",IF(M210=0,"OK",IF(ABS(M210)&gt;=0.3*L210,"Berubah besar","Harga berubah")))))))))))))</f>
        <v/>
      </c>
      <c r="O210" s="18" t="n"/>
      <c r="P210" s="18" t="n"/>
      <c r="Q210" s="26" t="n"/>
    </row>
    <row r="211">
      <c r="A211" s="17" t="n"/>
      <c r="B211" s="18" t="n"/>
      <c r="C211" s="19" t="n"/>
      <c r="D211" s="19" t="n"/>
      <c r="E211" s="19" t="n"/>
      <c r="F211" s="20" t="n"/>
      <c r="G211" s="21" t="n"/>
      <c r="H211" s="20" t="n"/>
      <c r="I211" s="22">
        <f>IF(ISNUMBER(H211),H211,IF(AND(ISNUMBER(F211),ISNUMBER(G211)),CEILING(ROUND(F211*(1+G211),2),1000),""))</f>
        <v/>
      </c>
      <c r="J211" s="22">
        <f>IF(AND(ISNUMBER(I211),ISNUMBER(F211)),I211-F211,"")</f>
        <v/>
      </c>
      <c r="K211" s="23">
        <f>IF(AND(ISNUMBER(I211),ISNUMBER(F211)),IF(I211=0,"",(I211-F211)/I211),"")</f>
        <v/>
      </c>
      <c r="L211" s="22" t="n"/>
      <c r="M211" s="24">
        <f>IF(AND(ISNUMBER(I211),ISNUMBER(L211)),I211-L211,"")</f>
        <v/>
      </c>
      <c r="N211" s="25">
        <f>IF(AND(C211="",E211=""),"",IF(AND(H211&lt;&gt;"",NOT(ISNUMBER(H211))),"Cek Harga Manual",IF(AND(F211="-",NOT(ISNUMBER(H211))),"Isi Harga Manual",IF(F211="-","HPP akan dihapus",IF(AND(F211&lt;&gt;"",NOT(ISNUMBER(F211))),"Cek HPP",IF(AND(ISNUMBER(G211),OR(G211&lt;0,G211&gt;20)),"Cek Markup",IF(NOT(ISNUMBER(I211)),"Harga belum ada",IF(F211="","HPP kosong",IF(F211=0,"HPP 0, cek",IF(I211&lt;=F211,"RUGI / impas",IF(NOT(ISNUMBER(L211)),"Baru",IF(M211=0,"OK",IF(ABS(M211)&gt;=0.3*L211,"Berubah besar","Harga berubah")))))))))))))</f>
        <v/>
      </c>
      <c r="O211" s="18" t="n"/>
      <c r="P211" s="18" t="n"/>
      <c r="Q211" s="26" t="n"/>
    </row>
    <row r="212">
      <c r="A212" s="17" t="n"/>
      <c r="B212" s="18" t="n"/>
      <c r="C212" s="19" t="n"/>
      <c r="D212" s="19" t="n"/>
      <c r="E212" s="19" t="n"/>
      <c r="F212" s="20" t="n"/>
      <c r="G212" s="21" t="n"/>
      <c r="H212" s="20" t="n"/>
      <c r="I212" s="22">
        <f>IF(ISNUMBER(H212),H212,IF(AND(ISNUMBER(F212),ISNUMBER(G212)),CEILING(ROUND(F212*(1+G212),2),1000),""))</f>
        <v/>
      </c>
      <c r="J212" s="22">
        <f>IF(AND(ISNUMBER(I212),ISNUMBER(F212)),I212-F212,"")</f>
        <v/>
      </c>
      <c r="K212" s="23">
        <f>IF(AND(ISNUMBER(I212),ISNUMBER(F212)),IF(I212=0,"",(I212-F212)/I212),"")</f>
        <v/>
      </c>
      <c r="L212" s="22" t="n"/>
      <c r="M212" s="24">
        <f>IF(AND(ISNUMBER(I212),ISNUMBER(L212)),I212-L212,"")</f>
        <v/>
      </c>
      <c r="N212" s="25">
        <f>IF(AND(C212="",E212=""),"",IF(AND(H212&lt;&gt;"",NOT(ISNUMBER(H212))),"Cek Harga Manual",IF(AND(F212="-",NOT(ISNUMBER(H212))),"Isi Harga Manual",IF(F212="-","HPP akan dihapus",IF(AND(F212&lt;&gt;"",NOT(ISNUMBER(F212))),"Cek HPP",IF(AND(ISNUMBER(G212),OR(G212&lt;0,G212&gt;20)),"Cek Markup",IF(NOT(ISNUMBER(I212)),"Harga belum ada",IF(F212="","HPP kosong",IF(F212=0,"HPP 0, cek",IF(I212&lt;=F212,"RUGI / impas",IF(NOT(ISNUMBER(L212)),"Baru",IF(M212=0,"OK",IF(ABS(M212)&gt;=0.3*L212,"Berubah besar","Harga berubah")))))))))))))</f>
        <v/>
      </c>
      <c r="O212" s="18" t="n"/>
      <c r="P212" s="18" t="n"/>
      <c r="Q212" s="26" t="n"/>
    </row>
    <row r="213">
      <c r="A213" s="17" t="n"/>
      <c r="B213" s="18" t="n"/>
      <c r="C213" s="19" t="n"/>
      <c r="D213" s="19" t="n"/>
      <c r="E213" s="19" t="n"/>
      <c r="F213" s="20" t="n"/>
      <c r="G213" s="21" t="n"/>
      <c r="H213" s="20" t="n"/>
      <c r="I213" s="22">
        <f>IF(ISNUMBER(H213),H213,IF(AND(ISNUMBER(F213),ISNUMBER(G213)),CEILING(ROUND(F213*(1+G213),2),1000),""))</f>
        <v/>
      </c>
      <c r="J213" s="22">
        <f>IF(AND(ISNUMBER(I213),ISNUMBER(F213)),I213-F213,"")</f>
        <v/>
      </c>
      <c r="K213" s="23">
        <f>IF(AND(ISNUMBER(I213),ISNUMBER(F213)),IF(I213=0,"",(I213-F213)/I213),"")</f>
        <v/>
      </c>
      <c r="L213" s="22" t="n"/>
      <c r="M213" s="24">
        <f>IF(AND(ISNUMBER(I213),ISNUMBER(L213)),I213-L213,"")</f>
        <v/>
      </c>
      <c r="N213" s="25">
        <f>IF(AND(C213="",E213=""),"",IF(AND(H213&lt;&gt;"",NOT(ISNUMBER(H213))),"Cek Harga Manual",IF(AND(F213="-",NOT(ISNUMBER(H213))),"Isi Harga Manual",IF(F213="-","HPP akan dihapus",IF(AND(F213&lt;&gt;"",NOT(ISNUMBER(F213))),"Cek HPP",IF(AND(ISNUMBER(G213),OR(G213&lt;0,G213&gt;20)),"Cek Markup",IF(NOT(ISNUMBER(I213)),"Harga belum ada",IF(F213="","HPP kosong",IF(F213=0,"HPP 0, cek",IF(I213&lt;=F213,"RUGI / impas",IF(NOT(ISNUMBER(L213)),"Baru",IF(M213=0,"OK",IF(ABS(M213)&gt;=0.3*L213,"Berubah besar","Harga berubah")))))))))))))</f>
        <v/>
      </c>
      <c r="O213" s="18" t="n"/>
      <c r="P213" s="18" t="n"/>
      <c r="Q213" s="26" t="n"/>
    </row>
    <row r="214">
      <c r="A214" s="17" t="n"/>
      <c r="B214" s="18" t="n"/>
      <c r="C214" s="19" t="n"/>
      <c r="D214" s="19" t="n"/>
      <c r="E214" s="19" t="n"/>
      <c r="F214" s="20" t="n"/>
      <c r="G214" s="21" t="n"/>
      <c r="H214" s="20" t="n"/>
      <c r="I214" s="22">
        <f>IF(ISNUMBER(H214),H214,IF(AND(ISNUMBER(F214),ISNUMBER(G214)),CEILING(ROUND(F214*(1+G214),2),1000),""))</f>
        <v/>
      </c>
      <c r="J214" s="22">
        <f>IF(AND(ISNUMBER(I214),ISNUMBER(F214)),I214-F214,"")</f>
        <v/>
      </c>
      <c r="K214" s="23">
        <f>IF(AND(ISNUMBER(I214),ISNUMBER(F214)),IF(I214=0,"",(I214-F214)/I214),"")</f>
        <v/>
      </c>
      <c r="L214" s="22" t="n"/>
      <c r="M214" s="24">
        <f>IF(AND(ISNUMBER(I214),ISNUMBER(L214)),I214-L214,"")</f>
        <v/>
      </c>
      <c r="N214" s="25">
        <f>IF(AND(C214="",E214=""),"",IF(AND(H214&lt;&gt;"",NOT(ISNUMBER(H214))),"Cek Harga Manual",IF(AND(F214="-",NOT(ISNUMBER(H214))),"Isi Harga Manual",IF(F214="-","HPP akan dihapus",IF(AND(F214&lt;&gt;"",NOT(ISNUMBER(F214))),"Cek HPP",IF(AND(ISNUMBER(G214),OR(G214&lt;0,G214&gt;20)),"Cek Markup",IF(NOT(ISNUMBER(I214)),"Harga belum ada",IF(F214="","HPP kosong",IF(F214=0,"HPP 0, cek",IF(I214&lt;=F214,"RUGI / impas",IF(NOT(ISNUMBER(L214)),"Baru",IF(M214=0,"OK",IF(ABS(M214)&gt;=0.3*L214,"Berubah besar","Harga berubah")))))))))))))</f>
        <v/>
      </c>
      <c r="O214" s="18" t="n"/>
      <c r="P214" s="18" t="n"/>
      <c r="Q214" s="26" t="n"/>
    </row>
    <row r="215">
      <c r="A215" s="17" t="n"/>
      <c r="B215" s="18" t="n"/>
      <c r="C215" s="19" t="n"/>
      <c r="D215" s="19" t="n"/>
      <c r="E215" s="19" t="n"/>
      <c r="F215" s="20" t="n"/>
      <c r="G215" s="21" t="n"/>
      <c r="H215" s="20" t="n"/>
      <c r="I215" s="22">
        <f>IF(ISNUMBER(H215),H215,IF(AND(ISNUMBER(F215),ISNUMBER(G215)),CEILING(ROUND(F215*(1+G215),2),1000),""))</f>
        <v/>
      </c>
      <c r="J215" s="22">
        <f>IF(AND(ISNUMBER(I215),ISNUMBER(F215)),I215-F215,"")</f>
        <v/>
      </c>
      <c r="K215" s="23">
        <f>IF(AND(ISNUMBER(I215),ISNUMBER(F215)),IF(I215=0,"",(I215-F215)/I215),"")</f>
        <v/>
      </c>
      <c r="L215" s="22" t="n"/>
      <c r="M215" s="24">
        <f>IF(AND(ISNUMBER(I215),ISNUMBER(L215)),I215-L215,"")</f>
        <v/>
      </c>
      <c r="N215" s="25">
        <f>IF(AND(C215="",E215=""),"",IF(AND(H215&lt;&gt;"",NOT(ISNUMBER(H215))),"Cek Harga Manual",IF(AND(F215="-",NOT(ISNUMBER(H215))),"Isi Harga Manual",IF(F215="-","HPP akan dihapus",IF(AND(F215&lt;&gt;"",NOT(ISNUMBER(F215))),"Cek HPP",IF(AND(ISNUMBER(G215),OR(G215&lt;0,G215&gt;20)),"Cek Markup",IF(NOT(ISNUMBER(I215)),"Harga belum ada",IF(F215="","HPP kosong",IF(F215=0,"HPP 0, cek",IF(I215&lt;=F215,"RUGI / impas",IF(NOT(ISNUMBER(L215)),"Baru",IF(M215=0,"OK",IF(ABS(M215)&gt;=0.3*L215,"Berubah besar","Harga berubah")))))))))))))</f>
        <v/>
      </c>
      <c r="O215" s="18" t="n"/>
      <c r="P215" s="18" t="n"/>
      <c r="Q215" s="26" t="n"/>
    </row>
    <row r="216">
      <c r="A216" s="17" t="n"/>
      <c r="B216" s="18" t="n"/>
      <c r="C216" s="19" t="n"/>
      <c r="D216" s="19" t="n"/>
      <c r="E216" s="19" t="n"/>
      <c r="F216" s="20" t="n"/>
      <c r="G216" s="21" t="n"/>
      <c r="H216" s="20" t="n"/>
      <c r="I216" s="22">
        <f>IF(ISNUMBER(H216),H216,IF(AND(ISNUMBER(F216),ISNUMBER(G216)),CEILING(ROUND(F216*(1+G216),2),1000),""))</f>
        <v/>
      </c>
      <c r="J216" s="22">
        <f>IF(AND(ISNUMBER(I216),ISNUMBER(F216)),I216-F216,"")</f>
        <v/>
      </c>
      <c r="K216" s="23">
        <f>IF(AND(ISNUMBER(I216),ISNUMBER(F216)),IF(I216=0,"",(I216-F216)/I216),"")</f>
        <v/>
      </c>
      <c r="L216" s="22" t="n"/>
      <c r="M216" s="24">
        <f>IF(AND(ISNUMBER(I216),ISNUMBER(L216)),I216-L216,"")</f>
        <v/>
      </c>
      <c r="N216" s="25">
        <f>IF(AND(C216="",E216=""),"",IF(AND(H216&lt;&gt;"",NOT(ISNUMBER(H216))),"Cek Harga Manual",IF(AND(F216="-",NOT(ISNUMBER(H216))),"Isi Harga Manual",IF(F216="-","HPP akan dihapus",IF(AND(F216&lt;&gt;"",NOT(ISNUMBER(F216))),"Cek HPP",IF(AND(ISNUMBER(G216),OR(G216&lt;0,G216&gt;20)),"Cek Markup",IF(NOT(ISNUMBER(I216)),"Harga belum ada",IF(F216="","HPP kosong",IF(F216=0,"HPP 0, cek",IF(I216&lt;=F216,"RUGI / impas",IF(NOT(ISNUMBER(L216)),"Baru",IF(M216=0,"OK",IF(ABS(M216)&gt;=0.3*L216,"Berubah besar","Harga berubah")))))))))))))</f>
        <v/>
      </c>
      <c r="O216" s="18" t="n"/>
      <c r="P216" s="18" t="n"/>
      <c r="Q216" s="26" t="n"/>
    </row>
    <row r="217">
      <c r="A217" s="17" t="n"/>
      <c r="B217" s="18" t="n"/>
      <c r="C217" s="19" t="n"/>
      <c r="D217" s="19" t="n"/>
      <c r="E217" s="19" t="n"/>
      <c r="F217" s="20" t="n"/>
      <c r="G217" s="21" t="n"/>
      <c r="H217" s="20" t="n"/>
      <c r="I217" s="22">
        <f>IF(ISNUMBER(H217),H217,IF(AND(ISNUMBER(F217),ISNUMBER(G217)),CEILING(ROUND(F217*(1+G217),2),1000),""))</f>
        <v/>
      </c>
      <c r="J217" s="22">
        <f>IF(AND(ISNUMBER(I217),ISNUMBER(F217)),I217-F217,"")</f>
        <v/>
      </c>
      <c r="K217" s="23">
        <f>IF(AND(ISNUMBER(I217),ISNUMBER(F217)),IF(I217=0,"",(I217-F217)/I217),"")</f>
        <v/>
      </c>
      <c r="L217" s="22" t="n"/>
      <c r="M217" s="24">
        <f>IF(AND(ISNUMBER(I217),ISNUMBER(L217)),I217-L217,"")</f>
        <v/>
      </c>
      <c r="N217" s="25">
        <f>IF(AND(C217="",E217=""),"",IF(AND(H217&lt;&gt;"",NOT(ISNUMBER(H217))),"Cek Harga Manual",IF(AND(F217="-",NOT(ISNUMBER(H217))),"Isi Harga Manual",IF(F217="-","HPP akan dihapus",IF(AND(F217&lt;&gt;"",NOT(ISNUMBER(F217))),"Cek HPP",IF(AND(ISNUMBER(G217),OR(G217&lt;0,G217&gt;20)),"Cek Markup",IF(NOT(ISNUMBER(I217)),"Harga belum ada",IF(F217="","HPP kosong",IF(F217=0,"HPP 0, cek",IF(I217&lt;=F217,"RUGI / impas",IF(NOT(ISNUMBER(L217)),"Baru",IF(M217=0,"OK",IF(ABS(M217)&gt;=0.3*L217,"Berubah besar","Harga berubah")))))))))))))</f>
        <v/>
      </c>
      <c r="O217" s="18" t="n"/>
      <c r="P217" s="18" t="n"/>
      <c r="Q217" s="26" t="n"/>
    </row>
    <row r="218">
      <c r="A218" s="17" t="n"/>
      <c r="B218" s="18" t="n"/>
      <c r="C218" s="19" t="n"/>
      <c r="D218" s="19" t="n"/>
      <c r="E218" s="19" t="n"/>
      <c r="F218" s="20" t="n"/>
      <c r="G218" s="21" t="n"/>
      <c r="H218" s="20" t="n"/>
      <c r="I218" s="22">
        <f>IF(ISNUMBER(H218),H218,IF(AND(ISNUMBER(F218),ISNUMBER(G218)),CEILING(ROUND(F218*(1+G218),2),1000),""))</f>
        <v/>
      </c>
      <c r="J218" s="22">
        <f>IF(AND(ISNUMBER(I218),ISNUMBER(F218)),I218-F218,"")</f>
        <v/>
      </c>
      <c r="K218" s="23">
        <f>IF(AND(ISNUMBER(I218),ISNUMBER(F218)),IF(I218=0,"",(I218-F218)/I218),"")</f>
        <v/>
      </c>
      <c r="L218" s="22" t="n"/>
      <c r="M218" s="24">
        <f>IF(AND(ISNUMBER(I218),ISNUMBER(L218)),I218-L218,"")</f>
        <v/>
      </c>
      <c r="N218" s="25">
        <f>IF(AND(C218="",E218=""),"",IF(AND(H218&lt;&gt;"",NOT(ISNUMBER(H218))),"Cek Harga Manual",IF(AND(F218="-",NOT(ISNUMBER(H218))),"Isi Harga Manual",IF(F218="-","HPP akan dihapus",IF(AND(F218&lt;&gt;"",NOT(ISNUMBER(F218))),"Cek HPP",IF(AND(ISNUMBER(G218),OR(G218&lt;0,G218&gt;20)),"Cek Markup",IF(NOT(ISNUMBER(I218)),"Harga belum ada",IF(F218="","HPP kosong",IF(F218=0,"HPP 0, cek",IF(I218&lt;=F218,"RUGI / impas",IF(NOT(ISNUMBER(L218)),"Baru",IF(M218=0,"OK",IF(ABS(M218)&gt;=0.3*L218,"Berubah besar","Harga berubah")))))))))))))</f>
        <v/>
      </c>
      <c r="O218" s="18" t="n"/>
      <c r="P218" s="18" t="n"/>
      <c r="Q218" s="26" t="n"/>
    </row>
    <row r="219">
      <c r="A219" s="17" t="n"/>
      <c r="B219" s="18" t="n"/>
      <c r="C219" s="19" t="n"/>
      <c r="D219" s="19" t="n"/>
      <c r="E219" s="19" t="n"/>
      <c r="F219" s="20" t="n"/>
      <c r="G219" s="21" t="n"/>
      <c r="H219" s="20" t="n"/>
      <c r="I219" s="22">
        <f>IF(ISNUMBER(H219),H219,IF(AND(ISNUMBER(F219),ISNUMBER(G219)),CEILING(ROUND(F219*(1+G219),2),1000),""))</f>
        <v/>
      </c>
      <c r="J219" s="22">
        <f>IF(AND(ISNUMBER(I219),ISNUMBER(F219)),I219-F219,"")</f>
        <v/>
      </c>
      <c r="K219" s="23">
        <f>IF(AND(ISNUMBER(I219),ISNUMBER(F219)),IF(I219=0,"",(I219-F219)/I219),"")</f>
        <v/>
      </c>
      <c r="L219" s="22" t="n"/>
      <c r="M219" s="24">
        <f>IF(AND(ISNUMBER(I219),ISNUMBER(L219)),I219-L219,"")</f>
        <v/>
      </c>
      <c r="N219" s="25">
        <f>IF(AND(C219="",E219=""),"",IF(AND(H219&lt;&gt;"",NOT(ISNUMBER(H219))),"Cek Harga Manual",IF(AND(F219="-",NOT(ISNUMBER(H219))),"Isi Harga Manual",IF(F219="-","HPP akan dihapus",IF(AND(F219&lt;&gt;"",NOT(ISNUMBER(F219))),"Cek HPP",IF(AND(ISNUMBER(G219),OR(G219&lt;0,G219&gt;20)),"Cek Markup",IF(NOT(ISNUMBER(I219)),"Harga belum ada",IF(F219="","HPP kosong",IF(F219=0,"HPP 0, cek",IF(I219&lt;=F219,"RUGI / impas",IF(NOT(ISNUMBER(L219)),"Baru",IF(M219=0,"OK",IF(ABS(M219)&gt;=0.3*L219,"Berubah besar","Harga berubah")))))))))))))</f>
        <v/>
      </c>
      <c r="O219" s="18" t="n"/>
      <c r="P219" s="18" t="n"/>
      <c r="Q219" s="26" t="n"/>
    </row>
    <row r="220">
      <c r="A220" s="17" t="n"/>
      <c r="B220" s="18" t="n"/>
      <c r="C220" s="19" t="n"/>
      <c r="D220" s="19" t="n"/>
      <c r="E220" s="19" t="n"/>
      <c r="F220" s="20" t="n"/>
      <c r="G220" s="21" t="n"/>
      <c r="H220" s="20" t="n"/>
      <c r="I220" s="22">
        <f>IF(ISNUMBER(H220),H220,IF(AND(ISNUMBER(F220),ISNUMBER(G220)),CEILING(ROUND(F220*(1+G220),2),1000),""))</f>
        <v/>
      </c>
      <c r="J220" s="22">
        <f>IF(AND(ISNUMBER(I220),ISNUMBER(F220)),I220-F220,"")</f>
        <v/>
      </c>
      <c r="K220" s="23">
        <f>IF(AND(ISNUMBER(I220),ISNUMBER(F220)),IF(I220=0,"",(I220-F220)/I220),"")</f>
        <v/>
      </c>
      <c r="L220" s="22" t="n"/>
      <c r="M220" s="24">
        <f>IF(AND(ISNUMBER(I220),ISNUMBER(L220)),I220-L220,"")</f>
        <v/>
      </c>
      <c r="N220" s="25">
        <f>IF(AND(C220="",E220=""),"",IF(AND(H220&lt;&gt;"",NOT(ISNUMBER(H220))),"Cek Harga Manual",IF(AND(F220="-",NOT(ISNUMBER(H220))),"Isi Harga Manual",IF(F220="-","HPP akan dihapus",IF(AND(F220&lt;&gt;"",NOT(ISNUMBER(F220))),"Cek HPP",IF(AND(ISNUMBER(G220),OR(G220&lt;0,G220&gt;20)),"Cek Markup",IF(NOT(ISNUMBER(I220)),"Harga belum ada",IF(F220="","HPP kosong",IF(F220=0,"HPP 0, cek",IF(I220&lt;=F220,"RUGI / impas",IF(NOT(ISNUMBER(L220)),"Baru",IF(M220=0,"OK",IF(ABS(M220)&gt;=0.3*L220,"Berubah besar","Harga berubah")))))))))))))</f>
        <v/>
      </c>
      <c r="O220" s="18" t="n"/>
      <c r="P220" s="18" t="n"/>
      <c r="Q220" s="26" t="n"/>
    </row>
    <row r="221">
      <c r="A221" s="17" t="n"/>
      <c r="B221" s="18" t="n"/>
      <c r="C221" s="19" t="n"/>
      <c r="D221" s="19" t="n"/>
      <c r="E221" s="19" t="n"/>
      <c r="F221" s="20" t="n"/>
      <c r="G221" s="21" t="n"/>
      <c r="H221" s="20" t="n"/>
      <c r="I221" s="22">
        <f>IF(ISNUMBER(H221),H221,IF(AND(ISNUMBER(F221),ISNUMBER(G221)),CEILING(ROUND(F221*(1+G221),2),1000),""))</f>
        <v/>
      </c>
      <c r="J221" s="22">
        <f>IF(AND(ISNUMBER(I221),ISNUMBER(F221)),I221-F221,"")</f>
        <v/>
      </c>
      <c r="K221" s="23">
        <f>IF(AND(ISNUMBER(I221),ISNUMBER(F221)),IF(I221=0,"",(I221-F221)/I221),"")</f>
        <v/>
      </c>
      <c r="L221" s="22" t="n"/>
      <c r="M221" s="24">
        <f>IF(AND(ISNUMBER(I221),ISNUMBER(L221)),I221-L221,"")</f>
        <v/>
      </c>
      <c r="N221" s="25">
        <f>IF(AND(C221="",E221=""),"",IF(AND(H221&lt;&gt;"",NOT(ISNUMBER(H221))),"Cek Harga Manual",IF(AND(F221="-",NOT(ISNUMBER(H221))),"Isi Harga Manual",IF(F221="-","HPP akan dihapus",IF(AND(F221&lt;&gt;"",NOT(ISNUMBER(F221))),"Cek HPP",IF(AND(ISNUMBER(G221),OR(G221&lt;0,G221&gt;20)),"Cek Markup",IF(NOT(ISNUMBER(I221)),"Harga belum ada",IF(F221="","HPP kosong",IF(F221=0,"HPP 0, cek",IF(I221&lt;=F221,"RUGI / impas",IF(NOT(ISNUMBER(L221)),"Baru",IF(M221=0,"OK",IF(ABS(M221)&gt;=0.3*L221,"Berubah besar","Harga berubah")))))))))))))</f>
        <v/>
      </c>
      <c r="O221" s="18" t="n"/>
      <c r="P221" s="18" t="n"/>
      <c r="Q221" s="26" t="n"/>
    </row>
    <row r="222">
      <c r="A222" s="17" t="n"/>
      <c r="B222" s="18" t="n"/>
      <c r="C222" s="19" t="n"/>
      <c r="D222" s="19" t="n"/>
      <c r="E222" s="19" t="n"/>
      <c r="F222" s="20" t="n"/>
      <c r="G222" s="21" t="n"/>
      <c r="H222" s="20" t="n"/>
      <c r="I222" s="22">
        <f>IF(ISNUMBER(H222),H222,IF(AND(ISNUMBER(F222),ISNUMBER(G222)),CEILING(ROUND(F222*(1+G222),2),1000),""))</f>
        <v/>
      </c>
      <c r="J222" s="22">
        <f>IF(AND(ISNUMBER(I222),ISNUMBER(F222)),I222-F222,"")</f>
        <v/>
      </c>
      <c r="K222" s="23">
        <f>IF(AND(ISNUMBER(I222),ISNUMBER(F222)),IF(I222=0,"",(I222-F222)/I222),"")</f>
        <v/>
      </c>
      <c r="L222" s="22" t="n"/>
      <c r="M222" s="24">
        <f>IF(AND(ISNUMBER(I222),ISNUMBER(L222)),I222-L222,"")</f>
        <v/>
      </c>
      <c r="N222" s="25">
        <f>IF(AND(C222="",E222=""),"",IF(AND(H222&lt;&gt;"",NOT(ISNUMBER(H222))),"Cek Harga Manual",IF(AND(F222="-",NOT(ISNUMBER(H222))),"Isi Harga Manual",IF(F222="-","HPP akan dihapus",IF(AND(F222&lt;&gt;"",NOT(ISNUMBER(F222))),"Cek HPP",IF(AND(ISNUMBER(G222),OR(G222&lt;0,G222&gt;20)),"Cek Markup",IF(NOT(ISNUMBER(I222)),"Harga belum ada",IF(F222="","HPP kosong",IF(F222=0,"HPP 0, cek",IF(I222&lt;=F222,"RUGI / impas",IF(NOT(ISNUMBER(L222)),"Baru",IF(M222=0,"OK",IF(ABS(M222)&gt;=0.3*L222,"Berubah besar","Harga berubah")))))))))))))</f>
        <v/>
      </c>
      <c r="O222" s="18" t="n"/>
      <c r="P222" s="18" t="n"/>
      <c r="Q222" s="26" t="n"/>
    </row>
    <row r="223">
      <c r="A223" s="17" t="n"/>
      <c r="B223" s="18" t="n"/>
      <c r="C223" s="19" t="n"/>
      <c r="D223" s="19" t="n"/>
      <c r="E223" s="19" t="n"/>
      <c r="F223" s="20" t="n"/>
      <c r="G223" s="21" t="n"/>
      <c r="H223" s="20" t="n"/>
      <c r="I223" s="22">
        <f>IF(ISNUMBER(H223),H223,IF(AND(ISNUMBER(F223),ISNUMBER(G223)),CEILING(ROUND(F223*(1+G223),2),1000),""))</f>
        <v/>
      </c>
      <c r="J223" s="22">
        <f>IF(AND(ISNUMBER(I223),ISNUMBER(F223)),I223-F223,"")</f>
        <v/>
      </c>
      <c r="K223" s="23">
        <f>IF(AND(ISNUMBER(I223),ISNUMBER(F223)),IF(I223=0,"",(I223-F223)/I223),"")</f>
        <v/>
      </c>
      <c r="L223" s="22" t="n"/>
      <c r="M223" s="24">
        <f>IF(AND(ISNUMBER(I223),ISNUMBER(L223)),I223-L223,"")</f>
        <v/>
      </c>
      <c r="N223" s="25">
        <f>IF(AND(C223="",E223=""),"",IF(AND(H223&lt;&gt;"",NOT(ISNUMBER(H223))),"Cek Harga Manual",IF(AND(F223="-",NOT(ISNUMBER(H223))),"Isi Harga Manual",IF(F223="-","HPP akan dihapus",IF(AND(F223&lt;&gt;"",NOT(ISNUMBER(F223))),"Cek HPP",IF(AND(ISNUMBER(G223),OR(G223&lt;0,G223&gt;20)),"Cek Markup",IF(NOT(ISNUMBER(I223)),"Harga belum ada",IF(F223="","HPP kosong",IF(F223=0,"HPP 0, cek",IF(I223&lt;=F223,"RUGI / impas",IF(NOT(ISNUMBER(L223)),"Baru",IF(M223=0,"OK",IF(ABS(M223)&gt;=0.3*L223,"Berubah besar","Harga berubah")))))))))))))</f>
        <v/>
      </c>
      <c r="O223" s="18" t="n"/>
      <c r="P223" s="18" t="n"/>
      <c r="Q223" s="26" t="n"/>
    </row>
    <row r="224">
      <c r="A224" s="17" t="n"/>
      <c r="B224" s="18" t="n"/>
      <c r="C224" s="19" t="n"/>
      <c r="D224" s="19" t="n"/>
      <c r="E224" s="19" t="n"/>
      <c r="F224" s="20" t="n"/>
      <c r="G224" s="21" t="n"/>
      <c r="H224" s="20" t="n"/>
      <c r="I224" s="22">
        <f>IF(ISNUMBER(H224),H224,IF(AND(ISNUMBER(F224),ISNUMBER(G224)),CEILING(ROUND(F224*(1+G224),2),1000),""))</f>
        <v/>
      </c>
      <c r="J224" s="22">
        <f>IF(AND(ISNUMBER(I224),ISNUMBER(F224)),I224-F224,"")</f>
        <v/>
      </c>
      <c r="K224" s="23">
        <f>IF(AND(ISNUMBER(I224),ISNUMBER(F224)),IF(I224=0,"",(I224-F224)/I224),"")</f>
        <v/>
      </c>
      <c r="L224" s="22" t="n"/>
      <c r="M224" s="24">
        <f>IF(AND(ISNUMBER(I224),ISNUMBER(L224)),I224-L224,"")</f>
        <v/>
      </c>
      <c r="N224" s="25">
        <f>IF(AND(C224="",E224=""),"",IF(AND(H224&lt;&gt;"",NOT(ISNUMBER(H224))),"Cek Harga Manual",IF(AND(F224="-",NOT(ISNUMBER(H224))),"Isi Harga Manual",IF(F224="-","HPP akan dihapus",IF(AND(F224&lt;&gt;"",NOT(ISNUMBER(F224))),"Cek HPP",IF(AND(ISNUMBER(G224),OR(G224&lt;0,G224&gt;20)),"Cek Markup",IF(NOT(ISNUMBER(I224)),"Harga belum ada",IF(F224="","HPP kosong",IF(F224=0,"HPP 0, cek",IF(I224&lt;=F224,"RUGI / impas",IF(NOT(ISNUMBER(L224)),"Baru",IF(M224=0,"OK",IF(ABS(M224)&gt;=0.3*L224,"Berubah besar","Harga berubah")))))))))))))</f>
        <v/>
      </c>
      <c r="O224" s="18" t="n"/>
      <c r="P224" s="18" t="n"/>
      <c r="Q224" s="26" t="n"/>
    </row>
    <row r="225">
      <c r="A225" s="17" t="n"/>
      <c r="B225" s="18" t="n"/>
      <c r="C225" s="19" t="n"/>
      <c r="D225" s="19" t="n"/>
      <c r="E225" s="19" t="n"/>
      <c r="F225" s="20" t="n"/>
      <c r="G225" s="21" t="n"/>
      <c r="H225" s="20" t="n"/>
      <c r="I225" s="22">
        <f>IF(ISNUMBER(H225),H225,IF(AND(ISNUMBER(F225),ISNUMBER(G225)),CEILING(ROUND(F225*(1+G225),2),1000),""))</f>
        <v/>
      </c>
      <c r="J225" s="22">
        <f>IF(AND(ISNUMBER(I225),ISNUMBER(F225)),I225-F225,"")</f>
        <v/>
      </c>
      <c r="K225" s="23">
        <f>IF(AND(ISNUMBER(I225),ISNUMBER(F225)),IF(I225=0,"",(I225-F225)/I225),"")</f>
        <v/>
      </c>
      <c r="L225" s="22" t="n"/>
      <c r="M225" s="24">
        <f>IF(AND(ISNUMBER(I225),ISNUMBER(L225)),I225-L225,"")</f>
        <v/>
      </c>
      <c r="N225" s="25">
        <f>IF(AND(C225="",E225=""),"",IF(AND(H225&lt;&gt;"",NOT(ISNUMBER(H225))),"Cek Harga Manual",IF(AND(F225="-",NOT(ISNUMBER(H225))),"Isi Harga Manual",IF(F225="-","HPP akan dihapus",IF(AND(F225&lt;&gt;"",NOT(ISNUMBER(F225))),"Cek HPP",IF(AND(ISNUMBER(G225),OR(G225&lt;0,G225&gt;20)),"Cek Markup",IF(NOT(ISNUMBER(I225)),"Harga belum ada",IF(F225="","HPP kosong",IF(F225=0,"HPP 0, cek",IF(I225&lt;=F225,"RUGI / impas",IF(NOT(ISNUMBER(L225)),"Baru",IF(M225=0,"OK",IF(ABS(M225)&gt;=0.3*L225,"Berubah besar","Harga berubah")))))))))))))</f>
        <v/>
      </c>
      <c r="O225" s="18" t="n"/>
      <c r="P225" s="18" t="n"/>
      <c r="Q225" s="26" t="n"/>
    </row>
    <row r="226">
      <c r="A226" s="17" t="n"/>
      <c r="B226" s="18" t="n"/>
      <c r="C226" s="19" t="n"/>
      <c r="D226" s="19" t="n"/>
      <c r="E226" s="19" t="n"/>
      <c r="F226" s="20" t="n"/>
      <c r="G226" s="21" t="n"/>
      <c r="H226" s="20" t="n"/>
      <c r="I226" s="22">
        <f>IF(ISNUMBER(H226),H226,IF(AND(ISNUMBER(F226),ISNUMBER(G226)),CEILING(ROUND(F226*(1+G226),2),1000),""))</f>
        <v/>
      </c>
      <c r="J226" s="22">
        <f>IF(AND(ISNUMBER(I226),ISNUMBER(F226)),I226-F226,"")</f>
        <v/>
      </c>
      <c r="K226" s="23">
        <f>IF(AND(ISNUMBER(I226),ISNUMBER(F226)),IF(I226=0,"",(I226-F226)/I226),"")</f>
        <v/>
      </c>
      <c r="L226" s="22" t="n"/>
      <c r="M226" s="24">
        <f>IF(AND(ISNUMBER(I226),ISNUMBER(L226)),I226-L226,"")</f>
        <v/>
      </c>
      <c r="N226" s="25">
        <f>IF(AND(C226="",E226=""),"",IF(AND(H226&lt;&gt;"",NOT(ISNUMBER(H226))),"Cek Harga Manual",IF(AND(F226="-",NOT(ISNUMBER(H226))),"Isi Harga Manual",IF(F226="-","HPP akan dihapus",IF(AND(F226&lt;&gt;"",NOT(ISNUMBER(F226))),"Cek HPP",IF(AND(ISNUMBER(G226),OR(G226&lt;0,G226&gt;20)),"Cek Markup",IF(NOT(ISNUMBER(I226)),"Harga belum ada",IF(F226="","HPP kosong",IF(F226=0,"HPP 0, cek",IF(I226&lt;=F226,"RUGI / impas",IF(NOT(ISNUMBER(L226)),"Baru",IF(M226=0,"OK",IF(ABS(M226)&gt;=0.3*L226,"Berubah besar","Harga berubah")))))))))))))</f>
        <v/>
      </c>
      <c r="O226" s="18" t="n"/>
      <c r="P226" s="18" t="n"/>
      <c r="Q226" s="26" t="n"/>
    </row>
    <row r="227">
      <c r="A227" s="17" t="n"/>
      <c r="B227" s="18" t="n"/>
      <c r="C227" s="19" t="n"/>
      <c r="D227" s="19" t="n"/>
      <c r="E227" s="19" t="n"/>
      <c r="F227" s="20" t="n"/>
      <c r="G227" s="21" t="n"/>
      <c r="H227" s="20" t="n"/>
      <c r="I227" s="22">
        <f>IF(ISNUMBER(H227),H227,IF(AND(ISNUMBER(F227),ISNUMBER(G227)),CEILING(ROUND(F227*(1+G227),2),1000),""))</f>
        <v/>
      </c>
      <c r="J227" s="22">
        <f>IF(AND(ISNUMBER(I227),ISNUMBER(F227)),I227-F227,"")</f>
        <v/>
      </c>
      <c r="K227" s="23">
        <f>IF(AND(ISNUMBER(I227),ISNUMBER(F227)),IF(I227=0,"",(I227-F227)/I227),"")</f>
        <v/>
      </c>
      <c r="L227" s="22" t="n"/>
      <c r="M227" s="24">
        <f>IF(AND(ISNUMBER(I227),ISNUMBER(L227)),I227-L227,"")</f>
        <v/>
      </c>
      <c r="N227" s="25">
        <f>IF(AND(C227="",E227=""),"",IF(AND(H227&lt;&gt;"",NOT(ISNUMBER(H227))),"Cek Harga Manual",IF(AND(F227="-",NOT(ISNUMBER(H227))),"Isi Harga Manual",IF(F227="-","HPP akan dihapus",IF(AND(F227&lt;&gt;"",NOT(ISNUMBER(F227))),"Cek HPP",IF(AND(ISNUMBER(G227),OR(G227&lt;0,G227&gt;20)),"Cek Markup",IF(NOT(ISNUMBER(I227)),"Harga belum ada",IF(F227="","HPP kosong",IF(F227=0,"HPP 0, cek",IF(I227&lt;=F227,"RUGI / impas",IF(NOT(ISNUMBER(L227)),"Baru",IF(M227=0,"OK",IF(ABS(M227)&gt;=0.3*L227,"Berubah besar","Harga berubah")))))))))))))</f>
        <v/>
      </c>
      <c r="O227" s="18" t="n"/>
      <c r="P227" s="18" t="n"/>
      <c r="Q227" s="26" t="n"/>
    </row>
    <row r="228">
      <c r="A228" s="17" t="n"/>
      <c r="B228" s="18" t="n"/>
      <c r="C228" s="19" t="n"/>
      <c r="D228" s="19" t="n"/>
      <c r="E228" s="19" t="n"/>
      <c r="F228" s="20" t="n"/>
      <c r="G228" s="21" t="n"/>
      <c r="H228" s="20" t="n"/>
      <c r="I228" s="22">
        <f>IF(ISNUMBER(H228),H228,IF(AND(ISNUMBER(F228),ISNUMBER(G228)),CEILING(ROUND(F228*(1+G228),2),1000),""))</f>
        <v/>
      </c>
      <c r="J228" s="22">
        <f>IF(AND(ISNUMBER(I228),ISNUMBER(F228)),I228-F228,"")</f>
        <v/>
      </c>
      <c r="K228" s="23">
        <f>IF(AND(ISNUMBER(I228),ISNUMBER(F228)),IF(I228=0,"",(I228-F228)/I228),"")</f>
        <v/>
      </c>
      <c r="L228" s="22" t="n"/>
      <c r="M228" s="24">
        <f>IF(AND(ISNUMBER(I228),ISNUMBER(L228)),I228-L228,"")</f>
        <v/>
      </c>
      <c r="N228" s="25">
        <f>IF(AND(C228="",E228=""),"",IF(AND(H228&lt;&gt;"",NOT(ISNUMBER(H228))),"Cek Harga Manual",IF(AND(F228="-",NOT(ISNUMBER(H228))),"Isi Harga Manual",IF(F228="-","HPP akan dihapus",IF(AND(F228&lt;&gt;"",NOT(ISNUMBER(F228))),"Cek HPP",IF(AND(ISNUMBER(G228),OR(G228&lt;0,G228&gt;20)),"Cek Markup",IF(NOT(ISNUMBER(I228)),"Harga belum ada",IF(F228="","HPP kosong",IF(F228=0,"HPP 0, cek",IF(I228&lt;=F228,"RUGI / impas",IF(NOT(ISNUMBER(L228)),"Baru",IF(M228=0,"OK",IF(ABS(M228)&gt;=0.3*L228,"Berubah besar","Harga berubah")))))))))))))</f>
        <v/>
      </c>
      <c r="O228" s="18" t="n"/>
      <c r="P228" s="18" t="n"/>
      <c r="Q228" s="26" t="n"/>
    </row>
    <row r="229">
      <c r="A229" s="17" t="n"/>
      <c r="B229" s="18" t="n"/>
      <c r="C229" s="19" t="n"/>
      <c r="D229" s="19" t="n"/>
      <c r="E229" s="19" t="n"/>
      <c r="F229" s="20" t="n"/>
      <c r="G229" s="21" t="n"/>
      <c r="H229" s="20" t="n"/>
      <c r="I229" s="22">
        <f>IF(ISNUMBER(H229),H229,IF(AND(ISNUMBER(F229),ISNUMBER(G229)),CEILING(ROUND(F229*(1+G229),2),1000),""))</f>
        <v/>
      </c>
      <c r="J229" s="22">
        <f>IF(AND(ISNUMBER(I229),ISNUMBER(F229)),I229-F229,"")</f>
        <v/>
      </c>
      <c r="K229" s="23">
        <f>IF(AND(ISNUMBER(I229),ISNUMBER(F229)),IF(I229=0,"",(I229-F229)/I229),"")</f>
        <v/>
      </c>
      <c r="L229" s="22" t="n"/>
      <c r="M229" s="24">
        <f>IF(AND(ISNUMBER(I229),ISNUMBER(L229)),I229-L229,"")</f>
        <v/>
      </c>
      <c r="N229" s="25">
        <f>IF(AND(C229="",E229=""),"",IF(AND(H229&lt;&gt;"",NOT(ISNUMBER(H229))),"Cek Harga Manual",IF(AND(F229="-",NOT(ISNUMBER(H229))),"Isi Harga Manual",IF(F229="-","HPP akan dihapus",IF(AND(F229&lt;&gt;"",NOT(ISNUMBER(F229))),"Cek HPP",IF(AND(ISNUMBER(G229),OR(G229&lt;0,G229&gt;20)),"Cek Markup",IF(NOT(ISNUMBER(I229)),"Harga belum ada",IF(F229="","HPP kosong",IF(F229=0,"HPP 0, cek",IF(I229&lt;=F229,"RUGI / impas",IF(NOT(ISNUMBER(L229)),"Baru",IF(M229=0,"OK",IF(ABS(M229)&gt;=0.3*L229,"Berubah besar","Harga berubah")))))))))))))</f>
        <v/>
      </c>
      <c r="O229" s="18" t="n"/>
      <c r="P229" s="18" t="n"/>
      <c r="Q229" s="26" t="n"/>
    </row>
    <row r="230">
      <c r="A230" s="17" t="n"/>
      <c r="B230" s="18" t="n"/>
      <c r="C230" s="19" t="n"/>
      <c r="D230" s="19" t="n"/>
      <c r="E230" s="19" t="n"/>
      <c r="F230" s="20" t="n"/>
      <c r="G230" s="21" t="n"/>
      <c r="H230" s="20" t="n"/>
      <c r="I230" s="22">
        <f>IF(ISNUMBER(H230),H230,IF(AND(ISNUMBER(F230),ISNUMBER(G230)),CEILING(ROUND(F230*(1+G230),2),1000),""))</f>
        <v/>
      </c>
      <c r="J230" s="22">
        <f>IF(AND(ISNUMBER(I230),ISNUMBER(F230)),I230-F230,"")</f>
        <v/>
      </c>
      <c r="K230" s="23">
        <f>IF(AND(ISNUMBER(I230),ISNUMBER(F230)),IF(I230=0,"",(I230-F230)/I230),"")</f>
        <v/>
      </c>
      <c r="L230" s="22" t="n"/>
      <c r="M230" s="24">
        <f>IF(AND(ISNUMBER(I230),ISNUMBER(L230)),I230-L230,"")</f>
        <v/>
      </c>
      <c r="N230" s="25">
        <f>IF(AND(C230="",E230=""),"",IF(AND(H230&lt;&gt;"",NOT(ISNUMBER(H230))),"Cek Harga Manual",IF(AND(F230="-",NOT(ISNUMBER(H230))),"Isi Harga Manual",IF(F230="-","HPP akan dihapus",IF(AND(F230&lt;&gt;"",NOT(ISNUMBER(F230))),"Cek HPP",IF(AND(ISNUMBER(G230),OR(G230&lt;0,G230&gt;20)),"Cek Markup",IF(NOT(ISNUMBER(I230)),"Harga belum ada",IF(F230="","HPP kosong",IF(F230=0,"HPP 0, cek",IF(I230&lt;=F230,"RUGI / impas",IF(NOT(ISNUMBER(L230)),"Baru",IF(M230=0,"OK",IF(ABS(M230)&gt;=0.3*L230,"Berubah besar","Harga berubah")))))))))))))</f>
        <v/>
      </c>
      <c r="O230" s="18" t="n"/>
      <c r="P230" s="18" t="n"/>
      <c r="Q230" s="26" t="n"/>
    </row>
    <row r="231">
      <c r="A231" s="17" t="n"/>
      <c r="B231" s="18" t="n"/>
      <c r="C231" s="19" t="n"/>
      <c r="D231" s="19" t="n"/>
      <c r="E231" s="19" t="n"/>
      <c r="F231" s="20" t="n"/>
      <c r="G231" s="21" t="n"/>
      <c r="H231" s="20" t="n"/>
      <c r="I231" s="22">
        <f>IF(ISNUMBER(H231),H231,IF(AND(ISNUMBER(F231),ISNUMBER(G231)),CEILING(ROUND(F231*(1+G231),2),1000),""))</f>
        <v/>
      </c>
      <c r="J231" s="22">
        <f>IF(AND(ISNUMBER(I231),ISNUMBER(F231)),I231-F231,"")</f>
        <v/>
      </c>
      <c r="K231" s="23">
        <f>IF(AND(ISNUMBER(I231),ISNUMBER(F231)),IF(I231=0,"",(I231-F231)/I231),"")</f>
        <v/>
      </c>
      <c r="L231" s="22" t="n"/>
      <c r="M231" s="24">
        <f>IF(AND(ISNUMBER(I231),ISNUMBER(L231)),I231-L231,"")</f>
        <v/>
      </c>
      <c r="N231" s="25">
        <f>IF(AND(C231="",E231=""),"",IF(AND(H231&lt;&gt;"",NOT(ISNUMBER(H231))),"Cek Harga Manual",IF(AND(F231="-",NOT(ISNUMBER(H231))),"Isi Harga Manual",IF(F231="-","HPP akan dihapus",IF(AND(F231&lt;&gt;"",NOT(ISNUMBER(F231))),"Cek HPP",IF(AND(ISNUMBER(G231),OR(G231&lt;0,G231&gt;20)),"Cek Markup",IF(NOT(ISNUMBER(I231)),"Harga belum ada",IF(F231="","HPP kosong",IF(F231=0,"HPP 0, cek",IF(I231&lt;=F231,"RUGI / impas",IF(NOT(ISNUMBER(L231)),"Baru",IF(M231=0,"OK",IF(ABS(M231)&gt;=0.3*L231,"Berubah besar","Harga berubah")))))))))))))</f>
        <v/>
      </c>
      <c r="O231" s="18" t="n"/>
      <c r="P231" s="18" t="n"/>
      <c r="Q231" s="26" t="n"/>
    </row>
    <row r="232">
      <c r="A232" s="17" t="n"/>
      <c r="B232" s="18" t="n"/>
      <c r="C232" s="19" t="n"/>
      <c r="D232" s="19" t="n"/>
      <c r="E232" s="19" t="n"/>
      <c r="F232" s="20" t="n"/>
      <c r="G232" s="21" t="n"/>
      <c r="H232" s="20" t="n"/>
      <c r="I232" s="22">
        <f>IF(ISNUMBER(H232),H232,IF(AND(ISNUMBER(F232),ISNUMBER(G232)),CEILING(ROUND(F232*(1+G232),2),1000),""))</f>
        <v/>
      </c>
      <c r="J232" s="22">
        <f>IF(AND(ISNUMBER(I232),ISNUMBER(F232)),I232-F232,"")</f>
        <v/>
      </c>
      <c r="K232" s="23">
        <f>IF(AND(ISNUMBER(I232),ISNUMBER(F232)),IF(I232=0,"",(I232-F232)/I232),"")</f>
        <v/>
      </c>
      <c r="L232" s="22" t="n"/>
      <c r="M232" s="24">
        <f>IF(AND(ISNUMBER(I232),ISNUMBER(L232)),I232-L232,"")</f>
        <v/>
      </c>
      <c r="N232" s="25">
        <f>IF(AND(C232="",E232=""),"",IF(AND(H232&lt;&gt;"",NOT(ISNUMBER(H232))),"Cek Harga Manual",IF(AND(F232="-",NOT(ISNUMBER(H232))),"Isi Harga Manual",IF(F232="-","HPP akan dihapus",IF(AND(F232&lt;&gt;"",NOT(ISNUMBER(F232))),"Cek HPP",IF(AND(ISNUMBER(G232),OR(G232&lt;0,G232&gt;20)),"Cek Markup",IF(NOT(ISNUMBER(I232)),"Harga belum ada",IF(F232="","HPP kosong",IF(F232=0,"HPP 0, cek",IF(I232&lt;=F232,"RUGI / impas",IF(NOT(ISNUMBER(L232)),"Baru",IF(M232=0,"OK",IF(ABS(M232)&gt;=0.3*L232,"Berubah besar","Harga berubah")))))))))))))</f>
        <v/>
      </c>
      <c r="O232" s="18" t="n"/>
      <c r="P232" s="18" t="n"/>
      <c r="Q232" s="26" t="n"/>
    </row>
    <row r="233">
      <c r="A233" s="17" t="n"/>
      <c r="B233" s="18" t="n"/>
      <c r="C233" s="19" t="n"/>
      <c r="D233" s="19" t="n"/>
      <c r="E233" s="19" t="n"/>
      <c r="F233" s="20" t="n"/>
      <c r="G233" s="21" t="n"/>
      <c r="H233" s="20" t="n"/>
      <c r="I233" s="22">
        <f>IF(ISNUMBER(H233),H233,IF(AND(ISNUMBER(F233),ISNUMBER(G233)),CEILING(ROUND(F233*(1+G233),2),1000),""))</f>
        <v/>
      </c>
      <c r="J233" s="22">
        <f>IF(AND(ISNUMBER(I233),ISNUMBER(F233)),I233-F233,"")</f>
        <v/>
      </c>
      <c r="K233" s="23">
        <f>IF(AND(ISNUMBER(I233),ISNUMBER(F233)),IF(I233=0,"",(I233-F233)/I233),"")</f>
        <v/>
      </c>
      <c r="L233" s="22" t="n"/>
      <c r="M233" s="24">
        <f>IF(AND(ISNUMBER(I233),ISNUMBER(L233)),I233-L233,"")</f>
        <v/>
      </c>
      <c r="N233" s="25">
        <f>IF(AND(C233="",E233=""),"",IF(AND(H233&lt;&gt;"",NOT(ISNUMBER(H233))),"Cek Harga Manual",IF(AND(F233="-",NOT(ISNUMBER(H233))),"Isi Harga Manual",IF(F233="-","HPP akan dihapus",IF(AND(F233&lt;&gt;"",NOT(ISNUMBER(F233))),"Cek HPP",IF(AND(ISNUMBER(G233),OR(G233&lt;0,G233&gt;20)),"Cek Markup",IF(NOT(ISNUMBER(I233)),"Harga belum ada",IF(F233="","HPP kosong",IF(F233=0,"HPP 0, cek",IF(I233&lt;=F233,"RUGI / impas",IF(NOT(ISNUMBER(L233)),"Baru",IF(M233=0,"OK",IF(ABS(M233)&gt;=0.3*L233,"Berubah besar","Harga berubah")))))))))))))</f>
        <v/>
      </c>
      <c r="O233" s="18" t="n"/>
      <c r="P233" s="18" t="n"/>
      <c r="Q233" s="26" t="n"/>
    </row>
    <row r="234">
      <c r="A234" s="17" t="n"/>
      <c r="B234" s="18" t="n"/>
      <c r="C234" s="19" t="n"/>
      <c r="D234" s="19" t="n"/>
      <c r="E234" s="19" t="n"/>
      <c r="F234" s="20" t="n"/>
      <c r="G234" s="21" t="n"/>
      <c r="H234" s="20" t="n"/>
      <c r="I234" s="22">
        <f>IF(ISNUMBER(H234),H234,IF(AND(ISNUMBER(F234),ISNUMBER(G234)),CEILING(ROUND(F234*(1+G234),2),1000),""))</f>
        <v/>
      </c>
      <c r="J234" s="22">
        <f>IF(AND(ISNUMBER(I234),ISNUMBER(F234)),I234-F234,"")</f>
        <v/>
      </c>
      <c r="K234" s="23">
        <f>IF(AND(ISNUMBER(I234),ISNUMBER(F234)),IF(I234=0,"",(I234-F234)/I234),"")</f>
        <v/>
      </c>
      <c r="L234" s="22" t="n"/>
      <c r="M234" s="24">
        <f>IF(AND(ISNUMBER(I234),ISNUMBER(L234)),I234-L234,"")</f>
        <v/>
      </c>
      <c r="N234" s="25">
        <f>IF(AND(C234="",E234=""),"",IF(AND(H234&lt;&gt;"",NOT(ISNUMBER(H234))),"Cek Harga Manual",IF(AND(F234="-",NOT(ISNUMBER(H234))),"Isi Harga Manual",IF(F234="-","HPP akan dihapus",IF(AND(F234&lt;&gt;"",NOT(ISNUMBER(F234))),"Cek HPP",IF(AND(ISNUMBER(G234),OR(G234&lt;0,G234&gt;20)),"Cek Markup",IF(NOT(ISNUMBER(I234)),"Harga belum ada",IF(F234="","HPP kosong",IF(F234=0,"HPP 0, cek",IF(I234&lt;=F234,"RUGI / impas",IF(NOT(ISNUMBER(L234)),"Baru",IF(M234=0,"OK",IF(ABS(M234)&gt;=0.3*L234,"Berubah besar","Harga berubah")))))))))))))</f>
        <v/>
      </c>
      <c r="O234" s="18" t="n"/>
      <c r="P234" s="18" t="n"/>
      <c r="Q234" s="26" t="n"/>
    </row>
    <row r="235">
      <c r="A235" s="17" t="n"/>
      <c r="B235" s="18" t="n"/>
      <c r="C235" s="19" t="n"/>
      <c r="D235" s="19" t="n"/>
      <c r="E235" s="19" t="n"/>
      <c r="F235" s="20" t="n"/>
      <c r="G235" s="21" t="n"/>
      <c r="H235" s="20" t="n"/>
      <c r="I235" s="22">
        <f>IF(ISNUMBER(H235),H235,IF(AND(ISNUMBER(F235),ISNUMBER(G235)),CEILING(ROUND(F235*(1+G235),2),1000),""))</f>
        <v/>
      </c>
      <c r="J235" s="22">
        <f>IF(AND(ISNUMBER(I235),ISNUMBER(F235)),I235-F235,"")</f>
        <v/>
      </c>
      <c r="K235" s="23">
        <f>IF(AND(ISNUMBER(I235),ISNUMBER(F235)),IF(I235=0,"",(I235-F235)/I235),"")</f>
        <v/>
      </c>
      <c r="L235" s="22" t="n"/>
      <c r="M235" s="24">
        <f>IF(AND(ISNUMBER(I235),ISNUMBER(L235)),I235-L235,"")</f>
        <v/>
      </c>
      <c r="N235" s="25">
        <f>IF(AND(C235="",E235=""),"",IF(AND(H235&lt;&gt;"",NOT(ISNUMBER(H235))),"Cek Harga Manual",IF(AND(F235="-",NOT(ISNUMBER(H235))),"Isi Harga Manual",IF(F235="-","HPP akan dihapus",IF(AND(F235&lt;&gt;"",NOT(ISNUMBER(F235))),"Cek HPP",IF(AND(ISNUMBER(G235),OR(G235&lt;0,G235&gt;20)),"Cek Markup",IF(NOT(ISNUMBER(I235)),"Harga belum ada",IF(F235="","HPP kosong",IF(F235=0,"HPP 0, cek",IF(I235&lt;=F235,"RUGI / impas",IF(NOT(ISNUMBER(L235)),"Baru",IF(M235=0,"OK",IF(ABS(M235)&gt;=0.3*L235,"Berubah besar","Harga berubah")))))))))))))</f>
        <v/>
      </c>
      <c r="O235" s="18" t="n"/>
      <c r="P235" s="18" t="n"/>
      <c r="Q235" s="26" t="n"/>
    </row>
    <row r="236">
      <c r="A236" s="17" t="n"/>
      <c r="B236" s="18" t="n"/>
      <c r="C236" s="19" t="n"/>
      <c r="D236" s="19" t="n"/>
      <c r="E236" s="19" t="n"/>
      <c r="F236" s="20" t="n"/>
      <c r="G236" s="21" t="n"/>
      <c r="H236" s="20" t="n"/>
      <c r="I236" s="22">
        <f>IF(ISNUMBER(H236),H236,IF(AND(ISNUMBER(F236),ISNUMBER(G236)),CEILING(ROUND(F236*(1+G236),2),1000),""))</f>
        <v/>
      </c>
      <c r="J236" s="22">
        <f>IF(AND(ISNUMBER(I236),ISNUMBER(F236)),I236-F236,"")</f>
        <v/>
      </c>
      <c r="K236" s="23">
        <f>IF(AND(ISNUMBER(I236),ISNUMBER(F236)),IF(I236=0,"",(I236-F236)/I236),"")</f>
        <v/>
      </c>
      <c r="L236" s="22" t="n"/>
      <c r="M236" s="24">
        <f>IF(AND(ISNUMBER(I236),ISNUMBER(L236)),I236-L236,"")</f>
        <v/>
      </c>
      <c r="N236" s="25">
        <f>IF(AND(C236="",E236=""),"",IF(AND(H236&lt;&gt;"",NOT(ISNUMBER(H236))),"Cek Harga Manual",IF(AND(F236="-",NOT(ISNUMBER(H236))),"Isi Harga Manual",IF(F236="-","HPP akan dihapus",IF(AND(F236&lt;&gt;"",NOT(ISNUMBER(F236))),"Cek HPP",IF(AND(ISNUMBER(G236),OR(G236&lt;0,G236&gt;20)),"Cek Markup",IF(NOT(ISNUMBER(I236)),"Harga belum ada",IF(F236="","HPP kosong",IF(F236=0,"HPP 0, cek",IF(I236&lt;=F236,"RUGI / impas",IF(NOT(ISNUMBER(L236)),"Baru",IF(M236=0,"OK",IF(ABS(M236)&gt;=0.3*L236,"Berubah besar","Harga berubah")))))))))))))</f>
        <v/>
      </c>
      <c r="O236" s="18" t="n"/>
      <c r="P236" s="18" t="n"/>
      <c r="Q236" s="26" t="n"/>
    </row>
    <row r="237">
      <c r="A237" s="17" t="n"/>
      <c r="B237" s="18" t="n"/>
      <c r="C237" s="19" t="n"/>
      <c r="D237" s="19" t="n"/>
      <c r="E237" s="19" t="n"/>
      <c r="F237" s="20" t="n"/>
      <c r="G237" s="21" t="n"/>
      <c r="H237" s="20" t="n"/>
      <c r="I237" s="22">
        <f>IF(ISNUMBER(H237),H237,IF(AND(ISNUMBER(F237),ISNUMBER(G237)),CEILING(ROUND(F237*(1+G237),2),1000),""))</f>
        <v/>
      </c>
      <c r="J237" s="22">
        <f>IF(AND(ISNUMBER(I237),ISNUMBER(F237)),I237-F237,"")</f>
        <v/>
      </c>
      <c r="K237" s="23">
        <f>IF(AND(ISNUMBER(I237),ISNUMBER(F237)),IF(I237=0,"",(I237-F237)/I237),"")</f>
        <v/>
      </c>
      <c r="L237" s="22" t="n"/>
      <c r="M237" s="24">
        <f>IF(AND(ISNUMBER(I237),ISNUMBER(L237)),I237-L237,"")</f>
        <v/>
      </c>
      <c r="N237" s="25">
        <f>IF(AND(C237="",E237=""),"",IF(AND(H237&lt;&gt;"",NOT(ISNUMBER(H237))),"Cek Harga Manual",IF(AND(F237="-",NOT(ISNUMBER(H237))),"Isi Harga Manual",IF(F237="-","HPP akan dihapus",IF(AND(F237&lt;&gt;"",NOT(ISNUMBER(F237))),"Cek HPP",IF(AND(ISNUMBER(G237),OR(G237&lt;0,G237&gt;20)),"Cek Markup",IF(NOT(ISNUMBER(I237)),"Harga belum ada",IF(F237="","HPP kosong",IF(F237=0,"HPP 0, cek",IF(I237&lt;=F237,"RUGI / impas",IF(NOT(ISNUMBER(L237)),"Baru",IF(M237=0,"OK",IF(ABS(M237)&gt;=0.3*L237,"Berubah besar","Harga berubah")))))))))))))</f>
        <v/>
      </c>
      <c r="O237" s="18" t="n"/>
      <c r="P237" s="18" t="n"/>
      <c r="Q237" s="26" t="n"/>
    </row>
    <row r="238">
      <c r="A238" s="17" t="n"/>
      <c r="B238" s="18" t="n"/>
      <c r="C238" s="19" t="n"/>
      <c r="D238" s="19" t="n"/>
      <c r="E238" s="19" t="n"/>
      <c r="F238" s="20" t="n"/>
      <c r="G238" s="21" t="n"/>
      <c r="H238" s="20" t="n"/>
      <c r="I238" s="22">
        <f>IF(ISNUMBER(H238),H238,IF(AND(ISNUMBER(F238),ISNUMBER(G238)),CEILING(ROUND(F238*(1+G238),2),1000),""))</f>
        <v/>
      </c>
      <c r="J238" s="22">
        <f>IF(AND(ISNUMBER(I238),ISNUMBER(F238)),I238-F238,"")</f>
        <v/>
      </c>
      <c r="K238" s="23">
        <f>IF(AND(ISNUMBER(I238),ISNUMBER(F238)),IF(I238=0,"",(I238-F238)/I238),"")</f>
        <v/>
      </c>
      <c r="L238" s="22" t="n"/>
      <c r="M238" s="24">
        <f>IF(AND(ISNUMBER(I238),ISNUMBER(L238)),I238-L238,"")</f>
        <v/>
      </c>
      <c r="N238" s="25">
        <f>IF(AND(C238="",E238=""),"",IF(AND(H238&lt;&gt;"",NOT(ISNUMBER(H238))),"Cek Harga Manual",IF(AND(F238="-",NOT(ISNUMBER(H238))),"Isi Harga Manual",IF(F238="-","HPP akan dihapus",IF(AND(F238&lt;&gt;"",NOT(ISNUMBER(F238))),"Cek HPP",IF(AND(ISNUMBER(G238),OR(G238&lt;0,G238&gt;20)),"Cek Markup",IF(NOT(ISNUMBER(I238)),"Harga belum ada",IF(F238="","HPP kosong",IF(F238=0,"HPP 0, cek",IF(I238&lt;=F238,"RUGI / impas",IF(NOT(ISNUMBER(L238)),"Baru",IF(M238=0,"OK",IF(ABS(M238)&gt;=0.3*L238,"Berubah besar","Harga berubah")))))))))))))</f>
        <v/>
      </c>
      <c r="O238" s="18" t="n"/>
      <c r="P238" s="18" t="n"/>
      <c r="Q238" s="26" t="n"/>
    </row>
    <row r="239">
      <c r="A239" s="17" t="n"/>
      <c r="B239" s="18" t="n"/>
      <c r="C239" s="19" t="n"/>
      <c r="D239" s="19" t="n"/>
      <c r="E239" s="19" t="n"/>
      <c r="F239" s="20" t="n"/>
      <c r="G239" s="21" t="n"/>
      <c r="H239" s="20" t="n"/>
      <c r="I239" s="22">
        <f>IF(ISNUMBER(H239),H239,IF(AND(ISNUMBER(F239),ISNUMBER(G239)),CEILING(ROUND(F239*(1+G239),2),1000),""))</f>
        <v/>
      </c>
      <c r="J239" s="22">
        <f>IF(AND(ISNUMBER(I239),ISNUMBER(F239)),I239-F239,"")</f>
        <v/>
      </c>
      <c r="K239" s="23">
        <f>IF(AND(ISNUMBER(I239),ISNUMBER(F239)),IF(I239=0,"",(I239-F239)/I239),"")</f>
        <v/>
      </c>
      <c r="L239" s="22" t="n"/>
      <c r="M239" s="24">
        <f>IF(AND(ISNUMBER(I239),ISNUMBER(L239)),I239-L239,"")</f>
        <v/>
      </c>
      <c r="N239" s="25">
        <f>IF(AND(C239="",E239=""),"",IF(AND(H239&lt;&gt;"",NOT(ISNUMBER(H239))),"Cek Harga Manual",IF(AND(F239="-",NOT(ISNUMBER(H239))),"Isi Harga Manual",IF(F239="-","HPP akan dihapus",IF(AND(F239&lt;&gt;"",NOT(ISNUMBER(F239))),"Cek HPP",IF(AND(ISNUMBER(G239),OR(G239&lt;0,G239&gt;20)),"Cek Markup",IF(NOT(ISNUMBER(I239)),"Harga belum ada",IF(F239="","HPP kosong",IF(F239=0,"HPP 0, cek",IF(I239&lt;=F239,"RUGI / impas",IF(NOT(ISNUMBER(L239)),"Baru",IF(M239=0,"OK",IF(ABS(M239)&gt;=0.3*L239,"Berubah besar","Harga berubah")))))))))))))</f>
        <v/>
      </c>
      <c r="O239" s="18" t="n"/>
      <c r="P239" s="18" t="n"/>
      <c r="Q239" s="26" t="n"/>
    </row>
    <row r="240">
      <c r="A240" s="17" t="n"/>
      <c r="B240" s="18" t="n"/>
      <c r="C240" s="19" t="n"/>
      <c r="D240" s="19" t="n"/>
      <c r="E240" s="19" t="n"/>
      <c r="F240" s="20" t="n"/>
      <c r="G240" s="21" t="n"/>
      <c r="H240" s="20" t="n"/>
      <c r="I240" s="22">
        <f>IF(ISNUMBER(H240),H240,IF(AND(ISNUMBER(F240),ISNUMBER(G240)),CEILING(ROUND(F240*(1+G240),2),1000),""))</f>
        <v/>
      </c>
      <c r="J240" s="22">
        <f>IF(AND(ISNUMBER(I240),ISNUMBER(F240)),I240-F240,"")</f>
        <v/>
      </c>
      <c r="K240" s="23">
        <f>IF(AND(ISNUMBER(I240),ISNUMBER(F240)),IF(I240=0,"",(I240-F240)/I240),"")</f>
        <v/>
      </c>
      <c r="L240" s="22" t="n"/>
      <c r="M240" s="24">
        <f>IF(AND(ISNUMBER(I240),ISNUMBER(L240)),I240-L240,"")</f>
        <v/>
      </c>
      <c r="N240" s="25">
        <f>IF(AND(C240="",E240=""),"",IF(AND(H240&lt;&gt;"",NOT(ISNUMBER(H240))),"Cek Harga Manual",IF(AND(F240="-",NOT(ISNUMBER(H240))),"Isi Harga Manual",IF(F240="-","HPP akan dihapus",IF(AND(F240&lt;&gt;"",NOT(ISNUMBER(F240))),"Cek HPP",IF(AND(ISNUMBER(G240),OR(G240&lt;0,G240&gt;20)),"Cek Markup",IF(NOT(ISNUMBER(I240)),"Harga belum ada",IF(F240="","HPP kosong",IF(F240=0,"HPP 0, cek",IF(I240&lt;=F240,"RUGI / impas",IF(NOT(ISNUMBER(L240)),"Baru",IF(M240=0,"OK",IF(ABS(M240)&gt;=0.3*L240,"Berubah besar","Harga berubah")))))))))))))</f>
        <v/>
      </c>
      <c r="O240" s="18" t="n"/>
      <c r="P240" s="18" t="n"/>
      <c r="Q240" s="26" t="n"/>
    </row>
    <row r="241">
      <c r="A241" s="17" t="n"/>
      <c r="B241" s="18" t="n"/>
      <c r="C241" s="19" t="n"/>
      <c r="D241" s="19" t="n"/>
      <c r="E241" s="19" t="n"/>
      <c r="F241" s="20" t="n"/>
      <c r="G241" s="21" t="n"/>
      <c r="H241" s="20" t="n"/>
      <c r="I241" s="22">
        <f>IF(ISNUMBER(H241),H241,IF(AND(ISNUMBER(F241),ISNUMBER(G241)),CEILING(ROUND(F241*(1+G241),2),1000),""))</f>
        <v/>
      </c>
      <c r="J241" s="22">
        <f>IF(AND(ISNUMBER(I241),ISNUMBER(F241)),I241-F241,"")</f>
        <v/>
      </c>
      <c r="K241" s="23">
        <f>IF(AND(ISNUMBER(I241),ISNUMBER(F241)),IF(I241=0,"",(I241-F241)/I241),"")</f>
        <v/>
      </c>
      <c r="L241" s="22" t="n"/>
      <c r="M241" s="24">
        <f>IF(AND(ISNUMBER(I241),ISNUMBER(L241)),I241-L241,"")</f>
        <v/>
      </c>
      <c r="N241" s="25">
        <f>IF(AND(C241="",E241=""),"",IF(AND(H241&lt;&gt;"",NOT(ISNUMBER(H241))),"Cek Harga Manual",IF(AND(F241="-",NOT(ISNUMBER(H241))),"Isi Harga Manual",IF(F241="-","HPP akan dihapus",IF(AND(F241&lt;&gt;"",NOT(ISNUMBER(F241))),"Cek HPP",IF(AND(ISNUMBER(G241),OR(G241&lt;0,G241&gt;20)),"Cek Markup",IF(NOT(ISNUMBER(I241)),"Harga belum ada",IF(F241="","HPP kosong",IF(F241=0,"HPP 0, cek",IF(I241&lt;=F241,"RUGI / impas",IF(NOT(ISNUMBER(L241)),"Baru",IF(M241=0,"OK",IF(ABS(M241)&gt;=0.3*L241,"Berubah besar","Harga berubah")))))))))))))</f>
        <v/>
      </c>
      <c r="O241" s="18" t="n"/>
      <c r="P241" s="18" t="n"/>
      <c r="Q241" s="26" t="n"/>
    </row>
    <row r="242">
      <c r="A242" s="17" t="n"/>
      <c r="B242" s="18" t="n"/>
      <c r="C242" s="19" t="n"/>
      <c r="D242" s="19" t="n"/>
      <c r="E242" s="19" t="n"/>
      <c r="F242" s="20" t="n"/>
      <c r="G242" s="21" t="n"/>
      <c r="H242" s="20" t="n"/>
      <c r="I242" s="22">
        <f>IF(ISNUMBER(H242),H242,IF(AND(ISNUMBER(F242),ISNUMBER(G242)),CEILING(ROUND(F242*(1+G242),2),1000),""))</f>
        <v/>
      </c>
      <c r="J242" s="22">
        <f>IF(AND(ISNUMBER(I242),ISNUMBER(F242)),I242-F242,"")</f>
        <v/>
      </c>
      <c r="K242" s="23">
        <f>IF(AND(ISNUMBER(I242),ISNUMBER(F242)),IF(I242=0,"",(I242-F242)/I242),"")</f>
        <v/>
      </c>
      <c r="L242" s="22" t="n"/>
      <c r="M242" s="24">
        <f>IF(AND(ISNUMBER(I242),ISNUMBER(L242)),I242-L242,"")</f>
        <v/>
      </c>
      <c r="N242" s="25">
        <f>IF(AND(C242="",E242=""),"",IF(AND(H242&lt;&gt;"",NOT(ISNUMBER(H242))),"Cek Harga Manual",IF(AND(F242="-",NOT(ISNUMBER(H242))),"Isi Harga Manual",IF(F242="-","HPP akan dihapus",IF(AND(F242&lt;&gt;"",NOT(ISNUMBER(F242))),"Cek HPP",IF(AND(ISNUMBER(G242),OR(G242&lt;0,G242&gt;20)),"Cek Markup",IF(NOT(ISNUMBER(I242)),"Harga belum ada",IF(F242="","HPP kosong",IF(F242=0,"HPP 0, cek",IF(I242&lt;=F242,"RUGI / impas",IF(NOT(ISNUMBER(L242)),"Baru",IF(M242=0,"OK",IF(ABS(M242)&gt;=0.3*L242,"Berubah besar","Harga berubah")))))))))))))</f>
        <v/>
      </c>
      <c r="O242" s="18" t="n"/>
      <c r="P242" s="18" t="n"/>
      <c r="Q242" s="26" t="n"/>
    </row>
    <row r="243">
      <c r="A243" s="17" t="n"/>
      <c r="B243" s="18" t="n"/>
      <c r="C243" s="19" t="n"/>
      <c r="D243" s="19" t="n"/>
      <c r="E243" s="19" t="n"/>
      <c r="F243" s="20" t="n"/>
      <c r="G243" s="21" t="n"/>
      <c r="H243" s="20" t="n"/>
      <c r="I243" s="22">
        <f>IF(ISNUMBER(H243),H243,IF(AND(ISNUMBER(F243),ISNUMBER(G243)),CEILING(ROUND(F243*(1+G243),2),1000),""))</f>
        <v/>
      </c>
      <c r="J243" s="22">
        <f>IF(AND(ISNUMBER(I243),ISNUMBER(F243)),I243-F243,"")</f>
        <v/>
      </c>
      <c r="K243" s="23">
        <f>IF(AND(ISNUMBER(I243),ISNUMBER(F243)),IF(I243=0,"",(I243-F243)/I243),"")</f>
        <v/>
      </c>
      <c r="L243" s="22" t="n"/>
      <c r="M243" s="24">
        <f>IF(AND(ISNUMBER(I243),ISNUMBER(L243)),I243-L243,"")</f>
        <v/>
      </c>
      <c r="N243" s="25">
        <f>IF(AND(C243="",E243=""),"",IF(AND(H243&lt;&gt;"",NOT(ISNUMBER(H243))),"Cek Harga Manual",IF(AND(F243="-",NOT(ISNUMBER(H243))),"Isi Harga Manual",IF(F243="-","HPP akan dihapus",IF(AND(F243&lt;&gt;"",NOT(ISNUMBER(F243))),"Cek HPP",IF(AND(ISNUMBER(G243),OR(G243&lt;0,G243&gt;20)),"Cek Markup",IF(NOT(ISNUMBER(I243)),"Harga belum ada",IF(F243="","HPP kosong",IF(F243=0,"HPP 0, cek",IF(I243&lt;=F243,"RUGI / impas",IF(NOT(ISNUMBER(L243)),"Baru",IF(M243=0,"OK",IF(ABS(M243)&gt;=0.3*L243,"Berubah besar","Harga berubah")))))))))))))</f>
        <v/>
      </c>
      <c r="O243" s="18" t="n"/>
      <c r="P243" s="18" t="n"/>
      <c r="Q243" s="26" t="n"/>
    </row>
    <row r="244">
      <c r="A244" s="17" t="n"/>
      <c r="B244" s="18" t="n"/>
      <c r="C244" s="19" t="n"/>
      <c r="D244" s="19" t="n"/>
      <c r="E244" s="19" t="n"/>
      <c r="F244" s="20" t="n"/>
      <c r="G244" s="21" t="n"/>
      <c r="H244" s="20" t="n"/>
      <c r="I244" s="22">
        <f>IF(ISNUMBER(H244),H244,IF(AND(ISNUMBER(F244),ISNUMBER(G244)),CEILING(ROUND(F244*(1+G244),2),1000),""))</f>
        <v/>
      </c>
      <c r="J244" s="22">
        <f>IF(AND(ISNUMBER(I244),ISNUMBER(F244)),I244-F244,"")</f>
        <v/>
      </c>
      <c r="K244" s="23">
        <f>IF(AND(ISNUMBER(I244),ISNUMBER(F244)),IF(I244=0,"",(I244-F244)/I244),"")</f>
        <v/>
      </c>
      <c r="L244" s="22" t="n"/>
      <c r="M244" s="24">
        <f>IF(AND(ISNUMBER(I244),ISNUMBER(L244)),I244-L244,"")</f>
        <v/>
      </c>
      <c r="N244" s="25">
        <f>IF(AND(C244="",E244=""),"",IF(AND(H244&lt;&gt;"",NOT(ISNUMBER(H244))),"Cek Harga Manual",IF(AND(F244="-",NOT(ISNUMBER(H244))),"Isi Harga Manual",IF(F244="-","HPP akan dihapus",IF(AND(F244&lt;&gt;"",NOT(ISNUMBER(F244))),"Cek HPP",IF(AND(ISNUMBER(G244),OR(G244&lt;0,G244&gt;20)),"Cek Markup",IF(NOT(ISNUMBER(I244)),"Harga belum ada",IF(F244="","HPP kosong",IF(F244=0,"HPP 0, cek",IF(I244&lt;=F244,"RUGI / impas",IF(NOT(ISNUMBER(L244)),"Baru",IF(M244=0,"OK",IF(ABS(M244)&gt;=0.3*L244,"Berubah besar","Harga berubah")))))))))))))</f>
        <v/>
      </c>
      <c r="O244" s="18" t="n"/>
      <c r="P244" s="18" t="n"/>
      <c r="Q244" s="26" t="n"/>
    </row>
    <row r="245">
      <c r="A245" s="17" t="n"/>
      <c r="B245" s="18" t="n"/>
      <c r="C245" s="19" t="n"/>
      <c r="D245" s="19" t="n"/>
      <c r="E245" s="19" t="n"/>
      <c r="F245" s="20" t="n"/>
      <c r="G245" s="21" t="n"/>
      <c r="H245" s="20" t="n"/>
      <c r="I245" s="22">
        <f>IF(ISNUMBER(H245),H245,IF(AND(ISNUMBER(F245),ISNUMBER(G245)),CEILING(ROUND(F245*(1+G245),2),1000),""))</f>
        <v/>
      </c>
      <c r="J245" s="22">
        <f>IF(AND(ISNUMBER(I245),ISNUMBER(F245)),I245-F245,"")</f>
        <v/>
      </c>
      <c r="K245" s="23">
        <f>IF(AND(ISNUMBER(I245),ISNUMBER(F245)),IF(I245=0,"",(I245-F245)/I245),"")</f>
        <v/>
      </c>
      <c r="L245" s="22" t="n"/>
      <c r="M245" s="24">
        <f>IF(AND(ISNUMBER(I245),ISNUMBER(L245)),I245-L245,"")</f>
        <v/>
      </c>
      <c r="N245" s="25">
        <f>IF(AND(C245="",E245=""),"",IF(AND(H245&lt;&gt;"",NOT(ISNUMBER(H245))),"Cek Harga Manual",IF(AND(F245="-",NOT(ISNUMBER(H245))),"Isi Harga Manual",IF(F245="-","HPP akan dihapus",IF(AND(F245&lt;&gt;"",NOT(ISNUMBER(F245))),"Cek HPP",IF(AND(ISNUMBER(G245),OR(G245&lt;0,G245&gt;20)),"Cek Markup",IF(NOT(ISNUMBER(I245)),"Harga belum ada",IF(F245="","HPP kosong",IF(F245=0,"HPP 0, cek",IF(I245&lt;=F245,"RUGI / impas",IF(NOT(ISNUMBER(L245)),"Baru",IF(M245=0,"OK",IF(ABS(M245)&gt;=0.3*L245,"Berubah besar","Harga berubah")))))))))))))</f>
        <v/>
      </c>
      <c r="O245" s="18" t="n"/>
      <c r="P245" s="18" t="n"/>
      <c r="Q245" s="26" t="n"/>
    </row>
    <row r="246">
      <c r="A246" s="17" t="n"/>
      <c r="B246" s="18" t="n"/>
      <c r="C246" s="19" t="n"/>
      <c r="D246" s="19" t="n"/>
      <c r="E246" s="19" t="n"/>
      <c r="F246" s="20" t="n"/>
      <c r="G246" s="21" t="n"/>
      <c r="H246" s="20" t="n"/>
      <c r="I246" s="22">
        <f>IF(ISNUMBER(H246),H246,IF(AND(ISNUMBER(F246),ISNUMBER(G246)),CEILING(ROUND(F246*(1+G246),2),1000),""))</f>
        <v/>
      </c>
      <c r="J246" s="22">
        <f>IF(AND(ISNUMBER(I246),ISNUMBER(F246)),I246-F246,"")</f>
        <v/>
      </c>
      <c r="K246" s="23">
        <f>IF(AND(ISNUMBER(I246),ISNUMBER(F246)),IF(I246=0,"",(I246-F246)/I246),"")</f>
        <v/>
      </c>
      <c r="L246" s="22" t="n"/>
      <c r="M246" s="24">
        <f>IF(AND(ISNUMBER(I246),ISNUMBER(L246)),I246-L246,"")</f>
        <v/>
      </c>
      <c r="N246" s="25">
        <f>IF(AND(C246="",E246=""),"",IF(AND(H246&lt;&gt;"",NOT(ISNUMBER(H246))),"Cek Harga Manual",IF(AND(F246="-",NOT(ISNUMBER(H246))),"Isi Harga Manual",IF(F246="-","HPP akan dihapus",IF(AND(F246&lt;&gt;"",NOT(ISNUMBER(F246))),"Cek HPP",IF(AND(ISNUMBER(G246),OR(G246&lt;0,G246&gt;20)),"Cek Markup",IF(NOT(ISNUMBER(I246)),"Harga belum ada",IF(F246="","HPP kosong",IF(F246=0,"HPP 0, cek",IF(I246&lt;=F246,"RUGI / impas",IF(NOT(ISNUMBER(L246)),"Baru",IF(M246=0,"OK",IF(ABS(M246)&gt;=0.3*L246,"Berubah besar","Harga berubah")))))))))))))</f>
        <v/>
      </c>
      <c r="O246" s="18" t="n"/>
      <c r="P246" s="18" t="n"/>
      <c r="Q246" s="26" t="n"/>
    </row>
    <row r="247">
      <c r="A247" s="17" t="n"/>
      <c r="B247" s="18" t="n"/>
      <c r="C247" s="19" t="n"/>
      <c r="D247" s="19" t="n"/>
      <c r="E247" s="19" t="n"/>
      <c r="F247" s="20" t="n"/>
      <c r="G247" s="21" t="n"/>
      <c r="H247" s="20" t="n"/>
      <c r="I247" s="22">
        <f>IF(ISNUMBER(H247),H247,IF(AND(ISNUMBER(F247),ISNUMBER(G247)),CEILING(ROUND(F247*(1+G247),2),1000),""))</f>
        <v/>
      </c>
      <c r="J247" s="22">
        <f>IF(AND(ISNUMBER(I247),ISNUMBER(F247)),I247-F247,"")</f>
        <v/>
      </c>
      <c r="K247" s="23">
        <f>IF(AND(ISNUMBER(I247),ISNUMBER(F247)),IF(I247=0,"",(I247-F247)/I247),"")</f>
        <v/>
      </c>
      <c r="L247" s="22" t="n"/>
      <c r="M247" s="24">
        <f>IF(AND(ISNUMBER(I247),ISNUMBER(L247)),I247-L247,"")</f>
        <v/>
      </c>
      <c r="N247" s="25">
        <f>IF(AND(C247="",E247=""),"",IF(AND(H247&lt;&gt;"",NOT(ISNUMBER(H247))),"Cek Harga Manual",IF(AND(F247="-",NOT(ISNUMBER(H247))),"Isi Harga Manual",IF(F247="-","HPP akan dihapus",IF(AND(F247&lt;&gt;"",NOT(ISNUMBER(F247))),"Cek HPP",IF(AND(ISNUMBER(G247),OR(G247&lt;0,G247&gt;20)),"Cek Markup",IF(NOT(ISNUMBER(I247)),"Harga belum ada",IF(F247="","HPP kosong",IF(F247=0,"HPP 0, cek",IF(I247&lt;=F247,"RUGI / impas",IF(NOT(ISNUMBER(L247)),"Baru",IF(M247=0,"OK",IF(ABS(M247)&gt;=0.3*L247,"Berubah besar","Harga berubah")))))))))))))</f>
        <v/>
      </c>
      <c r="O247" s="18" t="n"/>
      <c r="P247" s="18" t="n"/>
      <c r="Q247" s="26" t="n"/>
    </row>
    <row r="248">
      <c r="A248" s="17" t="n"/>
      <c r="B248" s="18" t="n"/>
      <c r="C248" s="19" t="n"/>
      <c r="D248" s="19" t="n"/>
      <c r="E248" s="19" t="n"/>
      <c r="F248" s="20" t="n"/>
      <c r="G248" s="21" t="n"/>
      <c r="H248" s="20" t="n"/>
      <c r="I248" s="22">
        <f>IF(ISNUMBER(H248),H248,IF(AND(ISNUMBER(F248),ISNUMBER(G248)),CEILING(ROUND(F248*(1+G248),2),1000),""))</f>
        <v/>
      </c>
      <c r="J248" s="22">
        <f>IF(AND(ISNUMBER(I248),ISNUMBER(F248)),I248-F248,"")</f>
        <v/>
      </c>
      <c r="K248" s="23">
        <f>IF(AND(ISNUMBER(I248),ISNUMBER(F248)),IF(I248=0,"",(I248-F248)/I248),"")</f>
        <v/>
      </c>
      <c r="L248" s="22" t="n"/>
      <c r="M248" s="24">
        <f>IF(AND(ISNUMBER(I248),ISNUMBER(L248)),I248-L248,"")</f>
        <v/>
      </c>
      <c r="N248" s="25">
        <f>IF(AND(C248="",E248=""),"",IF(AND(H248&lt;&gt;"",NOT(ISNUMBER(H248))),"Cek Harga Manual",IF(AND(F248="-",NOT(ISNUMBER(H248))),"Isi Harga Manual",IF(F248="-","HPP akan dihapus",IF(AND(F248&lt;&gt;"",NOT(ISNUMBER(F248))),"Cek HPP",IF(AND(ISNUMBER(G248),OR(G248&lt;0,G248&gt;20)),"Cek Markup",IF(NOT(ISNUMBER(I248)),"Harga belum ada",IF(F248="","HPP kosong",IF(F248=0,"HPP 0, cek",IF(I248&lt;=F248,"RUGI / impas",IF(NOT(ISNUMBER(L248)),"Baru",IF(M248=0,"OK",IF(ABS(M248)&gt;=0.3*L248,"Berubah besar","Harga berubah")))))))))))))</f>
        <v/>
      </c>
      <c r="O248" s="18" t="n"/>
      <c r="P248" s="18" t="n"/>
      <c r="Q248" s="26" t="n"/>
    </row>
    <row r="249">
      <c r="A249" s="17" t="n"/>
      <c r="B249" s="18" t="n"/>
      <c r="C249" s="19" t="n"/>
      <c r="D249" s="19" t="n"/>
      <c r="E249" s="19" t="n"/>
      <c r="F249" s="20" t="n"/>
      <c r="G249" s="21" t="n"/>
      <c r="H249" s="20" t="n"/>
      <c r="I249" s="22">
        <f>IF(ISNUMBER(H249),H249,IF(AND(ISNUMBER(F249),ISNUMBER(G249)),CEILING(ROUND(F249*(1+G249),2),1000),""))</f>
        <v/>
      </c>
      <c r="J249" s="22">
        <f>IF(AND(ISNUMBER(I249),ISNUMBER(F249)),I249-F249,"")</f>
        <v/>
      </c>
      <c r="K249" s="23">
        <f>IF(AND(ISNUMBER(I249),ISNUMBER(F249)),IF(I249=0,"",(I249-F249)/I249),"")</f>
        <v/>
      </c>
      <c r="L249" s="22" t="n"/>
      <c r="M249" s="24">
        <f>IF(AND(ISNUMBER(I249),ISNUMBER(L249)),I249-L249,"")</f>
        <v/>
      </c>
      <c r="N249" s="25">
        <f>IF(AND(C249="",E249=""),"",IF(AND(H249&lt;&gt;"",NOT(ISNUMBER(H249))),"Cek Harga Manual",IF(AND(F249="-",NOT(ISNUMBER(H249))),"Isi Harga Manual",IF(F249="-","HPP akan dihapus",IF(AND(F249&lt;&gt;"",NOT(ISNUMBER(F249))),"Cek HPP",IF(AND(ISNUMBER(G249),OR(G249&lt;0,G249&gt;20)),"Cek Markup",IF(NOT(ISNUMBER(I249)),"Harga belum ada",IF(F249="","HPP kosong",IF(F249=0,"HPP 0, cek",IF(I249&lt;=F249,"RUGI / impas",IF(NOT(ISNUMBER(L249)),"Baru",IF(M249=0,"OK",IF(ABS(M249)&gt;=0.3*L249,"Berubah besar","Harga berubah")))))))))))))</f>
        <v/>
      </c>
      <c r="O249" s="18" t="n"/>
      <c r="P249" s="18" t="n"/>
      <c r="Q249" s="26" t="n"/>
    </row>
    <row r="250">
      <c r="A250" s="17" t="n"/>
      <c r="B250" s="18" t="n"/>
      <c r="C250" s="19" t="n"/>
      <c r="D250" s="19" t="n"/>
      <c r="E250" s="19" t="n"/>
      <c r="F250" s="20" t="n"/>
      <c r="G250" s="21" t="n"/>
      <c r="H250" s="20" t="n"/>
      <c r="I250" s="22">
        <f>IF(ISNUMBER(H250),H250,IF(AND(ISNUMBER(F250),ISNUMBER(G250)),CEILING(ROUND(F250*(1+G250),2),1000),""))</f>
        <v/>
      </c>
      <c r="J250" s="22">
        <f>IF(AND(ISNUMBER(I250),ISNUMBER(F250)),I250-F250,"")</f>
        <v/>
      </c>
      <c r="K250" s="23">
        <f>IF(AND(ISNUMBER(I250),ISNUMBER(F250)),IF(I250=0,"",(I250-F250)/I250),"")</f>
        <v/>
      </c>
      <c r="L250" s="22" t="n"/>
      <c r="M250" s="24">
        <f>IF(AND(ISNUMBER(I250),ISNUMBER(L250)),I250-L250,"")</f>
        <v/>
      </c>
      <c r="N250" s="25">
        <f>IF(AND(C250="",E250=""),"",IF(AND(H250&lt;&gt;"",NOT(ISNUMBER(H250))),"Cek Harga Manual",IF(AND(F250="-",NOT(ISNUMBER(H250))),"Isi Harga Manual",IF(F250="-","HPP akan dihapus",IF(AND(F250&lt;&gt;"",NOT(ISNUMBER(F250))),"Cek HPP",IF(AND(ISNUMBER(G250),OR(G250&lt;0,G250&gt;20)),"Cek Markup",IF(NOT(ISNUMBER(I250)),"Harga belum ada",IF(F250="","HPP kosong",IF(F250=0,"HPP 0, cek",IF(I250&lt;=F250,"RUGI / impas",IF(NOT(ISNUMBER(L250)),"Baru",IF(M250=0,"OK",IF(ABS(M250)&gt;=0.3*L250,"Berubah besar","Harga berubah")))))))))))))</f>
        <v/>
      </c>
      <c r="O250" s="18" t="n"/>
      <c r="P250" s="18" t="n"/>
      <c r="Q250" s="26" t="n"/>
    </row>
    <row r="251">
      <c r="A251" s="17" t="n"/>
      <c r="B251" s="18" t="n"/>
      <c r="C251" s="19" t="n"/>
      <c r="D251" s="19" t="n"/>
      <c r="E251" s="19" t="n"/>
      <c r="F251" s="20" t="n"/>
      <c r="G251" s="21" t="n"/>
      <c r="H251" s="20" t="n"/>
      <c r="I251" s="22">
        <f>IF(ISNUMBER(H251),H251,IF(AND(ISNUMBER(F251),ISNUMBER(G251)),CEILING(ROUND(F251*(1+G251),2),1000),""))</f>
        <v/>
      </c>
      <c r="J251" s="22">
        <f>IF(AND(ISNUMBER(I251),ISNUMBER(F251)),I251-F251,"")</f>
        <v/>
      </c>
      <c r="K251" s="23">
        <f>IF(AND(ISNUMBER(I251),ISNUMBER(F251)),IF(I251=0,"",(I251-F251)/I251),"")</f>
        <v/>
      </c>
      <c r="L251" s="22" t="n"/>
      <c r="M251" s="24">
        <f>IF(AND(ISNUMBER(I251),ISNUMBER(L251)),I251-L251,"")</f>
        <v/>
      </c>
      <c r="N251" s="25">
        <f>IF(AND(C251="",E251=""),"",IF(AND(H251&lt;&gt;"",NOT(ISNUMBER(H251))),"Cek Harga Manual",IF(AND(F251="-",NOT(ISNUMBER(H251))),"Isi Harga Manual",IF(F251="-","HPP akan dihapus",IF(AND(F251&lt;&gt;"",NOT(ISNUMBER(F251))),"Cek HPP",IF(AND(ISNUMBER(G251),OR(G251&lt;0,G251&gt;20)),"Cek Markup",IF(NOT(ISNUMBER(I251)),"Harga belum ada",IF(F251="","HPP kosong",IF(F251=0,"HPP 0, cek",IF(I251&lt;=F251,"RUGI / impas",IF(NOT(ISNUMBER(L251)),"Baru",IF(M251=0,"OK",IF(ABS(M251)&gt;=0.3*L251,"Berubah besar","Harga berubah")))))))))))))</f>
        <v/>
      </c>
      <c r="O251" s="18" t="n"/>
      <c r="P251" s="18" t="n"/>
      <c r="Q251" s="26" t="n"/>
    </row>
    <row r="252">
      <c r="A252" s="17" t="n"/>
      <c r="B252" s="18" t="n"/>
      <c r="C252" s="19" t="n"/>
      <c r="D252" s="19" t="n"/>
      <c r="E252" s="19" t="n"/>
      <c r="F252" s="20" t="n"/>
      <c r="G252" s="21" t="n"/>
      <c r="H252" s="20" t="n"/>
      <c r="I252" s="22">
        <f>IF(ISNUMBER(H252),H252,IF(AND(ISNUMBER(F252),ISNUMBER(G252)),CEILING(ROUND(F252*(1+G252),2),1000),""))</f>
        <v/>
      </c>
      <c r="J252" s="22">
        <f>IF(AND(ISNUMBER(I252),ISNUMBER(F252)),I252-F252,"")</f>
        <v/>
      </c>
      <c r="K252" s="23">
        <f>IF(AND(ISNUMBER(I252),ISNUMBER(F252)),IF(I252=0,"",(I252-F252)/I252),"")</f>
        <v/>
      </c>
      <c r="L252" s="22" t="n"/>
      <c r="M252" s="24">
        <f>IF(AND(ISNUMBER(I252),ISNUMBER(L252)),I252-L252,"")</f>
        <v/>
      </c>
      <c r="N252" s="25">
        <f>IF(AND(C252="",E252=""),"",IF(AND(H252&lt;&gt;"",NOT(ISNUMBER(H252))),"Cek Harga Manual",IF(AND(F252="-",NOT(ISNUMBER(H252))),"Isi Harga Manual",IF(F252="-","HPP akan dihapus",IF(AND(F252&lt;&gt;"",NOT(ISNUMBER(F252))),"Cek HPP",IF(AND(ISNUMBER(G252),OR(G252&lt;0,G252&gt;20)),"Cek Markup",IF(NOT(ISNUMBER(I252)),"Harga belum ada",IF(F252="","HPP kosong",IF(F252=0,"HPP 0, cek",IF(I252&lt;=F252,"RUGI / impas",IF(NOT(ISNUMBER(L252)),"Baru",IF(M252=0,"OK",IF(ABS(M252)&gt;=0.3*L252,"Berubah besar","Harga berubah")))))))))))))</f>
        <v/>
      </c>
      <c r="O252" s="18" t="n"/>
      <c r="P252" s="18" t="n"/>
      <c r="Q252" s="26" t="n"/>
    </row>
    <row r="253">
      <c r="A253" s="17" t="n"/>
      <c r="B253" s="18" t="n"/>
      <c r="C253" s="19" t="n"/>
      <c r="D253" s="19" t="n"/>
      <c r="E253" s="19" t="n"/>
      <c r="F253" s="20" t="n"/>
      <c r="G253" s="21" t="n"/>
      <c r="H253" s="20" t="n"/>
      <c r="I253" s="22">
        <f>IF(ISNUMBER(H253),H253,IF(AND(ISNUMBER(F253),ISNUMBER(G253)),CEILING(ROUND(F253*(1+G253),2),1000),""))</f>
        <v/>
      </c>
      <c r="J253" s="22">
        <f>IF(AND(ISNUMBER(I253),ISNUMBER(F253)),I253-F253,"")</f>
        <v/>
      </c>
      <c r="K253" s="23">
        <f>IF(AND(ISNUMBER(I253),ISNUMBER(F253)),IF(I253=0,"",(I253-F253)/I253),"")</f>
        <v/>
      </c>
      <c r="L253" s="22" t="n"/>
      <c r="M253" s="24">
        <f>IF(AND(ISNUMBER(I253),ISNUMBER(L253)),I253-L253,"")</f>
        <v/>
      </c>
      <c r="N253" s="25">
        <f>IF(AND(C253="",E253=""),"",IF(AND(H253&lt;&gt;"",NOT(ISNUMBER(H253))),"Cek Harga Manual",IF(AND(F253="-",NOT(ISNUMBER(H253))),"Isi Harga Manual",IF(F253="-","HPP akan dihapus",IF(AND(F253&lt;&gt;"",NOT(ISNUMBER(F253))),"Cek HPP",IF(AND(ISNUMBER(G253),OR(G253&lt;0,G253&gt;20)),"Cek Markup",IF(NOT(ISNUMBER(I253)),"Harga belum ada",IF(F253="","HPP kosong",IF(F253=0,"HPP 0, cek",IF(I253&lt;=F253,"RUGI / impas",IF(NOT(ISNUMBER(L253)),"Baru",IF(M253=0,"OK",IF(ABS(M253)&gt;=0.3*L253,"Berubah besar","Harga berubah")))))))))))))</f>
        <v/>
      </c>
      <c r="O253" s="18" t="n"/>
      <c r="P253" s="18" t="n"/>
      <c r="Q253" s="26" t="n"/>
    </row>
    <row r="254">
      <c r="A254" s="17" t="n"/>
      <c r="B254" s="18" t="n"/>
      <c r="C254" s="19" t="n"/>
      <c r="D254" s="19" t="n"/>
      <c r="E254" s="19" t="n"/>
      <c r="F254" s="20" t="n"/>
      <c r="G254" s="21" t="n"/>
      <c r="H254" s="20" t="n"/>
      <c r="I254" s="22">
        <f>IF(ISNUMBER(H254),H254,IF(AND(ISNUMBER(F254),ISNUMBER(G254)),CEILING(ROUND(F254*(1+G254),2),1000),""))</f>
        <v/>
      </c>
      <c r="J254" s="22">
        <f>IF(AND(ISNUMBER(I254),ISNUMBER(F254)),I254-F254,"")</f>
        <v/>
      </c>
      <c r="K254" s="23">
        <f>IF(AND(ISNUMBER(I254),ISNUMBER(F254)),IF(I254=0,"",(I254-F254)/I254),"")</f>
        <v/>
      </c>
      <c r="L254" s="22" t="n"/>
      <c r="M254" s="24">
        <f>IF(AND(ISNUMBER(I254),ISNUMBER(L254)),I254-L254,"")</f>
        <v/>
      </c>
      <c r="N254" s="25">
        <f>IF(AND(C254="",E254=""),"",IF(AND(H254&lt;&gt;"",NOT(ISNUMBER(H254))),"Cek Harga Manual",IF(AND(F254="-",NOT(ISNUMBER(H254))),"Isi Harga Manual",IF(F254="-","HPP akan dihapus",IF(AND(F254&lt;&gt;"",NOT(ISNUMBER(F254))),"Cek HPP",IF(AND(ISNUMBER(G254),OR(G254&lt;0,G254&gt;20)),"Cek Markup",IF(NOT(ISNUMBER(I254)),"Harga belum ada",IF(F254="","HPP kosong",IF(F254=0,"HPP 0, cek",IF(I254&lt;=F254,"RUGI / impas",IF(NOT(ISNUMBER(L254)),"Baru",IF(M254=0,"OK",IF(ABS(M254)&gt;=0.3*L254,"Berubah besar","Harga berubah")))))))))))))</f>
        <v/>
      </c>
      <c r="O254" s="18" t="n"/>
      <c r="P254" s="18" t="n"/>
      <c r="Q254" s="26" t="n"/>
    </row>
    <row r="255">
      <c r="A255" s="17" t="n"/>
      <c r="B255" s="18" t="n"/>
      <c r="C255" s="19" t="n"/>
      <c r="D255" s="19" t="n"/>
      <c r="E255" s="19" t="n"/>
      <c r="F255" s="20" t="n"/>
      <c r="G255" s="21" t="n"/>
      <c r="H255" s="20" t="n"/>
      <c r="I255" s="22">
        <f>IF(ISNUMBER(H255),H255,IF(AND(ISNUMBER(F255),ISNUMBER(G255)),CEILING(ROUND(F255*(1+G255),2),1000),""))</f>
        <v/>
      </c>
      <c r="J255" s="22">
        <f>IF(AND(ISNUMBER(I255),ISNUMBER(F255)),I255-F255,"")</f>
        <v/>
      </c>
      <c r="K255" s="23">
        <f>IF(AND(ISNUMBER(I255),ISNUMBER(F255)),IF(I255=0,"",(I255-F255)/I255),"")</f>
        <v/>
      </c>
      <c r="L255" s="22" t="n"/>
      <c r="M255" s="24">
        <f>IF(AND(ISNUMBER(I255),ISNUMBER(L255)),I255-L255,"")</f>
        <v/>
      </c>
      <c r="N255" s="25">
        <f>IF(AND(C255="",E255=""),"",IF(AND(H255&lt;&gt;"",NOT(ISNUMBER(H255))),"Cek Harga Manual",IF(AND(F255="-",NOT(ISNUMBER(H255))),"Isi Harga Manual",IF(F255="-","HPP akan dihapus",IF(AND(F255&lt;&gt;"",NOT(ISNUMBER(F255))),"Cek HPP",IF(AND(ISNUMBER(G255),OR(G255&lt;0,G255&gt;20)),"Cek Markup",IF(NOT(ISNUMBER(I255)),"Harga belum ada",IF(F255="","HPP kosong",IF(F255=0,"HPP 0, cek",IF(I255&lt;=F255,"RUGI / impas",IF(NOT(ISNUMBER(L255)),"Baru",IF(M255=0,"OK",IF(ABS(M255)&gt;=0.3*L255,"Berubah besar","Harga berubah")))))))))))))</f>
        <v/>
      </c>
      <c r="O255" s="18" t="n"/>
      <c r="P255" s="18" t="n"/>
      <c r="Q255" s="26" t="n"/>
    </row>
    <row r="256">
      <c r="A256" s="17" t="n"/>
      <c r="B256" s="18" t="n"/>
      <c r="C256" s="19" t="n"/>
      <c r="D256" s="19" t="n"/>
      <c r="E256" s="19" t="n"/>
      <c r="F256" s="20" t="n"/>
      <c r="G256" s="21" t="n"/>
      <c r="H256" s="20" t="n"/>
      <c r="I256" s="22">
        <f>IF(ISNUMBER(H256),H256,IF(AND(ISNUMBER(F256),ISNUMBER(G256)),CEILING(ROUND(F256*(1+G256),2),1000),""))</f>
        <v/>
      </c>
      <c r="J256" s="22">
        <f>IF(AND(ISNUMBER(I256),ISNUMBER(F256)),I256-F256,"")</f>
        <v/>
      </c>
      <c r="K256" s="23">
        <f>IF(AND(ISNUMBER(I256),ISNUMBER(F256)),IF(I256=0,"",(I256-F256)/I256),"")</f>
        <v/>
      </c>
      <c r="L256" s="22" t="n"/>
      <c r="M256" s="24">
        <f>IF(AND(ISNUMBER(I256),ISNUMBER(L256)),I256-L256,"")</f>
        <v/>
      </c>
      <c r="N256" s="25">
        <f>IF(AND(C256="",E256=""),"",IF(AND(H256&lt;&gt;"",NOT(ISNUMBER(H256))),"Cek Harga Manual",IF(AND(F256="-",NOT(ISNUMBER(H256))),"Isi Harga Manual",IF(F256="-","HPP akan dihapus",IF(AND(F256&lt;&gt;"",NOT(ISNUMBER(F256))),"Cek HPP",IF(AND(ISNUMBER(G256),OR(G256&lt;0,G256&gt;20)),"Cek Markup",IF(NOT(ISNUMBER(I256)),"Harga belum ada",IF(F256="","HPP kosong",IF(F256=0,"HPP 0, cek",IF(I256&lt;=F256,"RUGI / impas",IF(NOT(ISNUMBER(L256)),"Baru",IF(M256=0,"OK",IF(ABS(M256)&gt;=0.3*L256,"Berubah besar","Harga berubah")))))))))))))</f>
        <v/>
      </c>
      <c r="O256" s="18" t="n"/>
      <c r="P256" s="18" t="n"/>
      <c r="Q256" s="26" t="n"/>
    </row>
    <row r="257">
      <c r="A257" s="17" t="n"/>
      <c r="B257" s="18" t="n"/>
      <c r="C257" s="19" t="n"/>
      <c r="D257" s="19" t="n"/>
      <c r="E257" s="19" t="n"/>
      <c r="F257" s="20" t="n"/>
      <c r="G257" s="21" t="n"/>
      <c r="H257" s="20" t="n"/>
      <c r="I257" s="22">
        <f>IF(ISNUMBER(H257),H257,IF(AND(ISNUMBER(F257),ISNUMBER(G257)),CEILING(ROUND(F257*(1+G257),2),1000),""))</f>
        <v/>
      </c>
      <c r="J257" s="22">
        <f>IF(AND(ISNUMBER(I257),ISNUMBER(F257)),I257-F257,"")</f>
        <v/>
      </c>
      <c r="K257" s="23">
        <f>IF(AND(ISNUMBER(I257),ISNUMBER(F257)),IF(I257=0,"",(I257-F257)/I257),"")</f>
        <v/>
      </c>
      <c r="L257" s="22" t="n"/>
      <c r="M257" s="24">
        <f>IF(AND(ISNUMBER(I257),ISNUMBER(L257)),I257-L257,"")</f>
        <v/>
      </c>
      <c r="N257" s="25">
        <f>IF(AND(C257="",E257=""),"",IF(AND(H257&lt;&gt;"",NOT(ISNUMBER(H257))),"Cek Harga Manual",IF(AND(F257="-",NOT(ISNUMBER(H257))),"Isi Harga Manual",IF(F257="-","HPP akan dihapus",IF(AND(F257&lt;&gt;"",NOT(ISNUMBER(F257))),"Cek HPP",IF(AND(ISNUMBER(G257),OR(G257&lt;0,G257&gt;20)),"Cek Markup",IF(NOT(ISNUMBER(I257)),"Harga belum ada",IF(F257="","HPP kosong",IF(F257=0,"HPP 0, cek",IF(I257&lt;=F257,"RUGI / impas",IF(NOT(ISNUMBER(L257)),"Baru",IF(M257=0,"OK",IF(ABS(M257)&gt;=0.3*L257,"Berubah besar","Harga berubah")))))))))))))</f>
        <v/>
      </c>
      <c r="O257" s="18" t="n"/>
      <c r="P257" s="18" t="n"/>
      <c r="Q257" s="26" t="n"/>
    </row>
    <row r="258">
      <c r="A258" s="17" t="n"/>
      <c r="B258" s="18" t="n"/>
      <c r="C258" s="19" t="n"/>
      <c r="D258" s="19" t="n"/>
      <c r="E258" s="19" t="n"/>
      <c r="F258" s="20" t="n"/>
      <c r="G258" s="21" t="n"/>
      <c r="H258" s="20" t="n"/>
      <c r="I258" s="22">
        <f>IF(ISNUMBER(H258),H258,IF(AND(ISNUMBER(F258),ISNUMBER(G258)),CEILING(ROUND(F258*(1+G258),2),1000),""))</f>
        <v/>
      </c>
      <c r="J258" s="22">
        <f>IF(AND(ISNUMBER(I258),ISNUMBER(F258)),I258-F258,"")</f>
        <v/>
      </c>
      <c r="K258" s="23">
        <f>IF(AND(ISNUMBER(I258),ISNUMBER(F258)),IF(I258=0,"",(I258-F258)/I258),"")</f>
        <v/>
      </c>
      <c r="L258" s="22" t="n"/>
      <c r="M258" s="24">
        <f>IF(AND(ISNUMBER(I258),ISNUMBER(L258)),I258-L258,"")</f>
        <v/>
      </c>
      <c r="N258" s="25">
        <f>IF(AND(C258="",E258=""),"",IF(AND(H258&lt;&gt;"",NOT(ISNUMBER(H258))),"Cek Harga Manual",IF(AND(F258="-",NOT(ISNUMBER(H258))),"Isi Harga Manual",IF(F258="-","HPP akan dihapus",IF(AND(F258&lt;&gt;"",NOT(ISNUMBER(F258))),"Cek HPP",IF(AND(ISNUMBER(G258),OR(G258&lt;0,G258&gt;20)),"Cek Markup",IF(NOT(ISNUMBER(I258)),"Harga belum ada",IF(F258="","HPP kosong",IF(F258=0,"HPP 0, cek",IF(I258&lt;=F258,"RUGI / impas",IF(NOT(ISNUMBER(L258)),"Baru",IF(M258=0,"OK",IF(ABS(M258)&gt;=0.3*L258,"Berubah besar","Harga berubah")))))))))))))</f>
        <v/>
      </c>
      <c r="O258" s="18" t="n"/>
      <c r="P258" s="18" t="n"/>
      <c r="Q258" s="26" t="n"/>
    </row>
    <row r="259">
      <c r="A259" s="17" t="n"/>
      <c r="B259" s="18" t="n"/>
      <c r="C259" s="19" t="n"/>
      <c r="D259" s="19" t="n"/>
      <c r="E259" s="19" t="n"/>
      <c r="F259" s="20" t="n"/>
      <c r="G259" s="21" t="n"/>
      <c r="H259" s="20" t="n"/>
      <c r="I259" s="22">
        <f>IF(ISNUMBER(H259),H259,IF(AND(ISNUMBER(F259),ISNUMBER(G259)),CEILING(ROUND(F259*(1+G259),2),1000),""))</f>
        <v/>
      </c>
      <c r="J259" s="22">
        <f>IF(AND(ISNUMBER(I259),ISNUMBER(F259)),I259-F259,"")</f>
        <v/>
      </c>
      <c r="K259" s="23">
        <f>IF(AND(ISNUMBER(I259),ISNUMBER(F259)),IF(I259=0,"",(I259-F259)/I259),"")</f>
        <v/>
      </c>
      <c r="L259" s="22" t="n"/>
      <c r="M259" s="24">
        <f>IF(AND(ISNUMBER(I259),ISNUMBER(L259)),I259-L259,"")</f>
        <v/>
      </c>
      <c r="N259" s="25">
        <f>IF(AND(C259="",E259=""),"",IF(AND(H259&lt;&gt;"",NOT(ISNUMBER(H259))),"Cek Harga Manual",IF(AND(F259="-",NOT(ISNUMBER(H259))),"Isi Harga Manual",IF(F259="-","HPP akan dihapus",IF(AND(F259&lt;&gt;"",NOT(ISNUMBER(F259))),"Cek HPP",IF(AND(ISNUMBER(G259),OR(G259&lt;0,G259&gt;20)),"Cek Markup",IF(NOT(ISNUMBER(I259)),"Harga belum ada",IF(F259="","HPP kosong",IF(F259=0,"HPP 0, cek",IF(I259&lt;=F259,"RUGI / impas",IF(NOT(ISNUMBER(L259)),"Baru",IF(M259=0,"OK",IF(ABS(M259)&gt;=0.3*L259,"Berubah besar","Harga berubah")))))))))))))</f>
        <v/>
      </c>
      <c r="O259" s="18" t="n"/>
      <c r="P259" s="18" t="n"/>
      <c r="Q259" s="26" t="n"/>
    </row>
    <row r="260">
      <c r="A260" s="17" t="n"/>
      <c r="B260" s="18" t="n"/>
      <c r="C260" s="19" t="n"/>
      <c r="D260" s="19" t="n"/>
      <c r="E260" s="19" t="n"/>
      <c r="F260" s="20" t="n"/>
      <c r="G260" s="21" t="n"/>
      <c r="H260" s="20" t="n"/>
      <c r="I260" s="22">
        <f>IF(ISNUMBER(H260),H260,IF(AND(ISNUMBER(F260),ISNUMBER(G260)),CEILING(ROUND(F260*(1+G260),2),1000),""))</f>
        <v/>
      </c>
      <c r="J260" s="22">
        <f>IF(AND(ISNUMBER(I260),ISNUMBER(F260)),I260-F260,"")</f>
        <v/>
      </c>
      <c r="K260" s="23">
        <f>IF(AND(ISNUMBER(I260),ISNUMBER(F260)),IF(I260=0,"",(I260-F260)/I260),"")</f>
        <v/>
      </c>
      <c r="L260" s="22" t="n"/>
      <c r="M260" s="24">
        <f>IF(AND(ISNUMBER(I260),ISNUMBER(L260)),I260-L260,"")</f>
        <v/>
      </c>
      <c r="N260" s="25">
        <f>IF(AND(C260="",E260=""),"",IF(AND(H260&lt;&gt;"",NOT(ISNUMBER(H260))),"Cek Harga Manual",IF(AND(F260="-",NOT(ISNUMBER(H260))),"Isi Harga Manual",IF(F260="-","HPP akan dihapus",IF(AND(F260&lt;&gt;"",NOT(ISNUMBER(F260))),"Cek HPP",IF(AND(ISNUMBER(G260),OR(G260&lt;0,G260&gt;20)),"Cek Markup",IF(NOT(ISNUMBER(I260)),"Harga belum ada",IF(F260="","HPP kosong",IF(F260=0,"HPP 0, cek",IF(I260&lt;=F260,"RUGI / impas",IF(NOT(ISNUMBER(L260)),"Baru",IF(M260=0,"OK",IF(ABS(M260)&gt;=0.3*L260,"Berubah besar","Harga berubah")))))))))))))</f>
        <v/>
      </c>
      <c r="O260" s="18" t="n"/>
      <c r="P260" s="18" t="n"/>
      <c r="Q260" s="26" t="n"/>
    </row>
    <row r="261">
      <c r="A261" s="17" t="n"/>
      <c r="B261" s="18" t="n"/>
      <c r="C261" s="19" t="n"/>
      <c r="D261" s="19" t="n"/>
      <c r="E261" s="19" t="n"/>
      <c r="F261" s="20" t="n"/>
      <c r="G261" s="21" t="n"/>
      <c r="H261" s="20" t="n"/>
      <c r="I261" s="22">
        <f>IF(ISNUMBER(H261),H261,IF(AND(ISNUMBER(F261),ISNUMBER(G261)),CEILING(ROUND(F261*(1+G261),2),1000),""))</f>
        <v/>
      </c>
      <c r="J261" s="22">
        <f>IF(AND(ISNUMBER(I261),ISNUMBER(F261)),I261-F261,"")</f>
        <v/>
      </c>
      <c r="K261" s="23">
        <f>IF(AND(ISNUMBER(I261),ISNUMBER(F261)),IF(I261=0,"",(I261-F261)/I261),"")</f>
        <v/>
      </c>
      <c r="L261" s="22" t="n"/>
      <c r="M261" s="24">
        <f>IF(AND(ISNUMBER(I261),ISNUMBER(L261)),I261-L261,"")</f>
        <v/>
      </c>
      <c r="N261" s="25">
        <f>IF(AND(C261="",E261=""),"",IF(AND(H261&lt;&gt;"",NOT(ISNUMBER(H261))),"Cek Harga Manual",IF(AND(F261="-",NOT(ISNUMBER(H261))),"Isi Harga Manual",IF(F261="-","HPP akan dihapus",IF(AND(F261&lt;&gt;"",NOT(ISNUMBER(F261))),"Cek HPP",IF(AND(ISNUMBER(G261),OR(G261&lt;0,G261&gt;20)),"Cek Markup",IF(NOT(ISNUMBER(I261)),"Harga belum ada",IF(F261="","HPP kosong",IF(F261=0,"HPP 0, cek",IF(I261&lt;=F261,"RUGI / impas",IF(NOT(ISNUMBER(L261)),"Baru",IF(M261=0,"OK",IF(ABS(M261)&gt;=0.3*L261,"Berubah besar","Harga berubah")))))))))))))</f>
        <v/>
      </c>
      <c r="O261" s="18" t="n"/>
      <c r="P261" s="18" t="n"/>
      <c r="Q261" s="26" t="n"/>
    </row>
    <row r="262">
      <c r="A262" s="17" t="n"/>
      <c r="B262" s="18" t="n"/>
      <c r="C262" s="19" t="n"/>
      <c r="D262" s="19" t="n"/>
      <c r="E262" s="19" t="n"/>
      <c r="F262" s="20" t="n"/>
      <c r="G262" s="21" t="n"/>
      <c r="H262" s="20" t="n"/>
      <c r="I262" s="22">
        <f>IF(ISNUMBER(H262),H262,IF(AND(ISNUMBER(F262),ISNUMBER(G262)),CEILING(ROUND(F262*(1+G262),2),1000),""))</f>
        <v/>
      </c>
      <c r="J262" s="22">
        <f>IF(AND(ISNUMBER(I262),ISNUMBER(F262)),I262-F262,"")</f>
        <v/>
      </c>
      <c r="K262" s="23">
        <f>IF(AND(ISNUMBER(I262),ISNUMBER(F262)),IF(I262=0,"",(I262-F262)/I262),"")</f>
        <v/>
      </c>
      <c r="L262" s="22" t="n"/>
      <c r="M262" s="24">
        <f>IF(AND(ISNUMBER(I262),ISNUMBER(L262)),I262-L262,"")</f>
        <v/>
      </c>
      <c r="N262" s="25">
        <f>IF(AND(C262="",E262=""),"",IF(AND(H262&lt;&gt;"",NOT(ISNUMBER(H262))),"Cek Harga Manual",IF(AND(F262="-",NOT(ISNUMBER(H262))),"Isi Harga Manual",IF(F262="-","HPP akan dihapus",IF(AND(F262&lt;&gt;"",NOT(ISNUMBER(F262))),"Cek HPP",IF(AND(ISNUMBER(G262),OR(G262&lt;0,G262&gt;20)),"Cek Markup",IF(NOT(ISNUMBER(I262)),"Harga belum ada",IF(F262="","HPP kosong",IF(F262=0,"HPP 0, cek",IF(I262&lt;=F262,"RUGI / impas",IF(NOT(ISNUMBER(L262)),"Baru",IF(M262=0,"OK",IF(ABS(M262)&gt;=0.3*L262,"Berubah besar","Harga berubah")))))))))))))</f>
        <v/>
      </c>
      <c r="O262" s="18" t="n"/>
      <c r="P262" s="18" t="n"/>
      <c r="Q262" s="26" t="n"/>
    </row>
    <row r="263">
      <c r="A263" s="17" t="n"/>
      <c r="B263" s="18" t="n"/>
      <c r="C263" s="19" t="n"/>
      <c r="D263" s="19" t="n"/>
      <c r="E263" s="19" t="n"/>
      <c r="F263" s="20" t="n"/>
      <c r="G263" s="21" t="n"/>
      <c r="H263" s="20" t="n"/>
      <c r="I263" s="22">
        <f>IF(ISNUMBER(H263),H263,IF(AND(ISNUMBER(F263),ISNUMBER(G263)),CEILING(ROUND(F263*(1+G263),2),1000),""))</f>
        <v/>
      </c>
      <c r="J263" s="22">
        <f>IF(AND(ISNUMBER(I263),ISNUMBER(F263)),I263-F263,"")</f>
        <v/>
      </c>
      <c r="K263" s="23">
        <f>IF(AND(ISNUMBER(I263),ISNUMBER(F263)),IF(I263=0,"",(I263-F263)/I263),"")</f>
        <v/>
      </c>
      <c r="L263" s="22" t="n"/>
      <c r="M263" s="24">
        <f>IF(AND(ISNUMBER(I263),ISNUMBER(L263)),I263-L263,"")</f>
        <v/>
      </c>
      <c r="N263" s="25">
        <f>IF(AND(C263="",E263=""),"",IF(AND(H263&lt;&gt;"",NOT(ISNUMBER(H263))),"Cek Harga Manual",IF(AND(F263="-",NOT(ISNUMBER(H263))),"Isi Harga Manual",IF(F263="-","HPP akan dihapus",IF(AND(F263&lt;&gt;"",NOT(ISNUMBER(F263))),"Cek HPP",IF(AND(ISNUMBER(G263),OR(G263&lt;0,G263&gt;20)),"Cek Markup",IF(NOT(ISNUMBER(I263)),"Harga belum ada",IF(F263="","HPP kosong",IF(F263=0,"HPP 0, cek",IF(I263&lt;=F263,"RUGI / impas",IF(NOT(ISNUMBER(L263)),"Baru",IF(M263=0,"OK",IF(ABS(M263)&gt;=0.3*L263,"Berubah besar","Harga berubah")))))))))))))</f>
        <v/>
      </c>
      <c r="O263" s="18" t="n"/>
      <c r="P263" s="18" t="n"/>
      <c r="Q263" s="26" t="n"/>
    </row>
    <row r="264">
      <c r="A264" s="17" t="n"/>
      <c r="B264" s="18" t="n"/>
      <c r="C264" s="19" t="n"/>
      <c r="D264" s="19" t="n"/>
      <c r="E264" s="19" t="n"/>
      <c r="F264" s="20" t="n"/>
      <c r="G264" s="21" t="n"/>
      <c r="H264" s="20" t="n"/>
      <c r="I264" s="22">
        <f>IF(ISNUMBER(H264),H264,IF(AND(ISNUMBER(F264),ISNUMBER(G264)),CEILING(ROUND(F264*(1+G264),2),1000),""))</f>
        <v/>
      </c>
      <c r="J264" s="22">
        <f>IF(AND(ISNUMBER(I264),ISNUMBER(F264)),I264-F264,"")</f>
        <v/>
      </c>
      <c r="K264" s="23">
        <f>IF(AND(ISNUMBER(I264),ISNUMBER(F264)),IF(I264=0,"",(I264-F264)/I264),"")</f>
        <v/>
      </c>
      <c r="L264" s="22" t="n"/>
      <c r="M264" s="24">
        <f>IF(AND(ISNUMBER(I264),ISNUMBER(L264)),I264-L264,"")</f>
        <v/>
      </c>
      <c r="N264" s="25">
        <f>IF(AND(C264="",E264=""),"",IF(AND(H264&lt;&gt;"",NOT(ISNUMBER(H264))),"Cek Harga Manual",IF(AND(F264="-",NOT(ISNUMBER(H264))),"Isi Harga Manual",IF(F264="-","HPP akan dihapus",IF(AND(F264&lt;&gt;"",NOT(ISNUMBER(F264))),"Cek HPP",IF(AND(ISNUMBER(G264),OR(G264&lt;0,G264&gt;20)),"Cek Markup",IF(NOT(ISNUMBER(I264)),"Harga belum ada",IF(F264="","HPP kosong",IF(F264=0,"HPP 0, cek",IF(I264&lt;=F264,"RUGI / impas",IF(NOT(ISNUMBER(L264)),"Baru",IF(M264=0,"OK",IF(ABS(M264)&gt;=0.3*L264,"Berubah besar","Harga berubah")))))))))))))</f>
        <v/>
      </c>
      <c r="O264" s="18" t="n"/>
      <c r="P264" s="18" t="n"/>
      <c r="Q264" s="26" t="n"/>
    </row>
    <row r="265">
      <c r="A265" s="17" t="n"/>
      <c r="B265" s="18" t="n"/>
      <c r="C265" s="19" t="n"/>
      <c r="D265" s="19" t="n"/>
      <c r="E265" s="19" t="n"/>
      <c r="F265" s="20" t="n"/>
      <c r="G265" s="21" t="n"/>
      <c r="H265" s="20" t="n"/>
      <c r="I265" s="22">
        <f>IF(ISNUMBER(H265),H265,IF(AND(ISNUMBER(F265),ISNUMBER(G265)),CEILING(ROUND(F265*(1+G265),2),1000),""))</f>
        <v/>
      </c>
      <c r="J265" s="22">
        <f>IF(AND(ISNUMBER(I265),ISNUMBER(F265)),I265-F265,"")</f>
        <v/>
      </c>
      <c r="K265" s="23">
        <f>IF(AND(ISNUMBER(I265),ISNUMBER(F265)),IF(I265=0,"",(I265-F265)/I265),"")</f>
        <v/>
      </c>
      <c r="L265" s="22" t="n"/>
      <c r="M265" s="24">
        <f>IF(AND(ISNUMBER(I265),ISNUMBER(L265)),I265-L265,"")</f>
        <v/>
      </c>
      <c r="N265" s="25">
        <f>IF(AND(C265="",E265=""),"",IF(AND(H265&lt;&gt;"",NOT(ISNUMBER(H265))),"Cek Harga Manual",IF(AND(F265="-",NOT(ISNUMBER(H265))),"Isi Harga Manual",IF(F265="-","HPP akan dihapus",IF(AND(F265&lt;&gt;"",NOT(ISNUMBER(F265))),"Cek HPP",IF(AND(ISNUMBER(G265),OR(G265&lt;0,G265&gt;20)),"Cek Markup",IF(NOT(ISNUMBER(I265)),"Harga belum ada",IF(F265="","HPP kosong",IF(F265=0,"HPP 0, cek",IF(I265&lt;=F265,"RUGI / impas",IF(NOT(ISNUMBER(L265)),"Baru",IF(M265=0,"OK",IF(ABS(M265)&gt;=0.3*L265,"Berubah besar","Harga berubah")))))))))))))</f>
        <v/>
      </c>
      <c r="O265" s="18" t="n"/>
      <c r="P265" s="18" t="n"/>
      <c r="Q265" s="26" t="n"/>
    </row>
    <row r="266">
      <c r="A266" s="17" t="n"/>
      <c r="B266" s="18" t="n"/>
      <c r="C266" s="19" t="n"/>
      <c r="D266" s="19" t="n"/>
      <c r="E266" s="19" t="n"/>
      <c r="F266" s="20" t="n"/>
      <c r="G266" s="21" t="n"/>
      <c r="H266" s="20" t="n"/>
      <c r="I266" s="22">
        <f>IF(ISNUMBER(H266),H266,IF(AND(ISNUMBER(F266),ISNUMBER(G266)),CEILING(ROUND(F266*(1+G266),2),1000),""))</f>
        <v/>
      </c>
      <c r="J266" s="22">
        <f>IF(AND(ISNUMBER(I266),ISNUMBER(F266)),I266-F266,"")</f>
        <v/>
      </c>
      <c r="K266" s="23">
        <f>IF(AND(ISNUMBER(I266),ISNUMBER(F266)),IF(I266=0,"",(I266-F266)/I266),"")</f>
        <v/>
      </c>
      <c r="L266" s="22" t="n"/>
      <c r="M266" s="24">
        <f>IF(AND(ISNUMBER(I266),ISNUMBER(L266)),I266-L266,"")</f>
        <v/>
      </c>
      <c r="N266" s="25">
        <f>IF(AND(C266="",E266=""),"",IF(AND(H266&lt;&gt;"",NOT(ISNUMBER(H266))),"Cek Harga Manual",IF(AND(F266="-",NOT(ISNUMBER(H266))),"Isi Harga Manual",IF(F266="-","HPP akan dihapus",IF(AND(F266&lt;&gt;"",NOT(ISNUMBER(F266))),"Cek HPP",IF(AND(ISNUMBER(G266),OR(G266&lt;0,G266&gt;20)),"Cek Markup",IF(NOT(ISNUMBER(I266)),"Harga belum ada",IF(F266="","HPP kosong",IF(F266=0,"HPP 0, cek",IF(I266&lt;=F266,"RUGI / impas",IF(NOT(ISNUMBER(L266)),"Baru",IF(M266=0,"OK",IF(ABS(M266)&gt;=0.3*L266,"Berubah besar","Harga berubah")))))))))))))</f>
        <v/>
      </c>
      <c r="O266" s="18" t="n"/>
      <c r="P266" s="18" t="n"/>
      <c r="Q266" s="26" t="n"/>
    </row>
    <row r="267">
      <c r="A267" s="17" t="n"/>
      <c r="B267" s="18" t="n"/>
      <c r="C267" s="19" t="n"/>
      <c r="D267" s="19" t="n"/>
      <c r="E267" s="19" t="n"/>
      <c r="F267" s="20" t="n"/>
      <c r="G267" s="21" t="n"/>
      <c r="H267" s="20" t="n"/>
      <c r="I267" s="22">
        <f>IF(ISNUMBER(H267),H267,IF(AND(ISNUMBER(F267),ISNUMBER(G267)),CEILING(ROUND(F267*(1+G267),2),1000),""))</f>
        <v/>
      </c>
      <c r="J267" s="22">
        <f>IF(AND(ISNUMBER(I267),ISNUMBER(F267)),I267-F267,"")</f>
        <v/>
      </c>
      <c r="K267" s="23">
        <f>IF(AND(ISNUMBER(I267),ISNUMBER(F267)),IF(I267=0,"",(I267-F267)/I267),"")</f>
        <v/>
      </c>
      <c r="L267" s="22" t="n"/>
      <c r="M267" s="24">
        <f>IF(AND(ISNUMBER(I267),ISNUMBER(L267)),I267-L267,"")</f>
        <v/>
      </c>
      <c r="N267" s="25">
        <f>IF(AND(C267="",E267=""),"",IF(AND(H267&lt;&gt;"",NOT(ISNUMBER(H267))),"Cek Harga Manual",IF(AND(F267="-",NOT(ISNUMBER(H267))),"Isi Harga Manual",IF(F267="-","HPP akan dihapus",IF(AND(F267&lt;&gt;"",NOT(ISNUMBER(F267))),"Cek HPP",IF(AND(ISNUMBER(G267),OR(G267&lt;0,G267&gt;20)),"Cek Markup",IF(NOT(ISNUMBER(I267)),"Harga belum ada",IF(F267="","HPP kosong",IF(F267=0,"HPP 0, cek",IF(I267&lt;=F267,"RUGI / impas",IF(NOT(ISNUMBER(L267)),"Baru",IF(M267=0,"OK",IF(ABS(M267)&gt;=0.3*L267,"Berubah besar","Harga berubah")))))))))))))</f>
        <v/>
      </c>
      <c r="O267" s="18" t="n"/>
      <c r="P267" s="18" t="n"/>
      <c r="Q267" s="26" t="n"/>
    </row>
    <row r="268">
      <c r="A268" s="17" t="n"/>
      <c r="B268" s="18" t="n"/>
      <c r="C268" s="19" t="n"/>
      <c r="D268" s="19" t="n"/>
      <c r="E268" s="19" t="n"/>
      <c r="F268" s="20" t="n"/>
      <c r="G268" s="21" t="n"/>
      <c r="H268" s="20" t="n"/>
      <c r="I268" s="22">
        <f>IF(ISNUMBER(H268),H268,IF(AND(ISNUMBER(F268),ISNUMBER(G268)),CEILING(ROUND(F268*(1+G268),2),1000),""))</f>
        <v/>
      </c>
      <c r="J268" s="22">
        <f>IF(AND(ISNUMBER(I268),ISNUMBER(F268)),I268-F268,"")</f>
        <v/>
      </c>
      <c r="K268" s="23">
        <f>IF(AND(ISNUMBER(I268),ISNUMBER(F268)),IF(I268=0,"",(I268-F268)/I268),"")</f>
        <v/>
      </c>
      <c r="L268" s="22" t="n"/>
      <c r="M268" s="24">
        <f>IF(AND(ISNUMBER(I268),ISNUMBER(L268)),I268-L268,"")</f>
        <v/>
      </c>
      <c r="N268" s="25">
        <f>IF(AND(C268="",E268=""),"",IF(AND(H268&lt;&gt;"",NOT(ISNUMBER(H268))),"Cek Harga Manual",IF(AND(F268="-",NOT(ISNUMBER(H268))),"Isi Harga Manual",IF(F268="-","HPP akan dihapus",IF(AND(F268&lt;&gt;"",NOT(ISNUMBER(F268))),"Cek HPP",IF(AND(ISNUMBER(G268),OR(G268&lt;0,G268&gt;20)),"Cek Markup",IF(NOT(ISNUMBER(I268)),"Harga belum ada",IF(F268="","HPP kosong",IF(F268=0,"HPP 0, cek",IF(I268&lt;=F268,"RUGI / impas",IF(NOT(ISNUMBER(L268)),"Baru",IF(M268=0,"OK",IF(ABS(M268)&gt;=0.3*L268,"Berubah besar","Harga berubah")))))))))))))</f>
        <v/>
      </c>
      <c r="O268" s="18" t="n"/>
      <c r="P268" s="18" t="n"/>
      <c r="Q268" s="26" t="n"/>
    </row>
    <row r="269">
      <c r="A269" s="17" t="n"/>
      <c r="B269" s="18" t="n"/>
      <c r="C269" s="19" t="n"/>
      <c r="D269" s="19" t="n"/>
      <c r="E269" s="19" t="n"/>
      <c r="F269" s="20" t="n"/>
      <c r="G269" s="21" t="n"/>
      <c r="H269" s="20" t="n"/>
      <c r="I269" s="22">
        <f>IF(ISNUMBER(H269),H269,IF(AND(ISNUMBER(F269),ISNUMBER(G269)),CEILING(ROUND(F269*(1+G269),2),1000),""))</f>
        <v/>
      </c>
      <c r="J269" s="22">
        <f>IF(AND(ISNUMBER(I269),ISNUMBER(F269)),I269-F269,"")</f>
        <v/>
      </c>
      <c r="K269" s="23">
        <f>IF(AND(ISNUMBER(I269),ISNUMBER(F269)),IF(I269=0,"",(I269-F269)/I269),"")</f>
        <v/>
      </c>
      <c r="L269" s="22" t="n"/>
      <c r="M269" s="24">
        <f>IF(AND(ISNUMBER(I269),ISNUMBER(L269)),I269-L269,"")</f>
        <v/>
      </c>
      <c r="N269" s="25">
        <f>IF(AND(C269="",E269=""),"",IF(AND(H269&lt;&gt;"",NOT(ISNUMBER(H269))),"Cek Harga Manual",IF(AND(F269="-",NOT(ISNUMBER(H269))),"Isi Harga Manual",IF(F269="-","HPP akan dihapus",IF(AND(F269&lt;&gt;"",NOT(ISNUMBER(F269))),"Cek HPP",IF(AND(ISNUMBER(G269),OR(G269&lt;0,G269&gt;20)),"Cek Markup",IF(NOT(ISNUMBER(I269)),"Harga belum ada",IF(F269="","HPP kosong",IF(F269=0,"HPP 0, cek",IF(I269&lt;=F269,"RUGI / impas",IF(NOT(ISNUMBER(L269)),"Baru",IF(M269=0,"OK",IF(ABS(M269)&gt;=0.3*L269,"Berubah besar","Harga berubah")))))))))))))</f>
        <v/>
      </c>
      <c r="O269" s="18" t="n"/>
      <c r="P269" s="18" t="n"/>
      <c r="Q269" s="26" t="n"/>
    </row>
    <row r="270">
      <c r="A270" s="17" t="n"/>
      <c r="B270" s="18" t="n"/>
      <c r="C270" s="19" t="n"/>
      <c r="D270" s="19" t="n"/>
      <c r="E270" s="19" t="n"/>
      <c r="F270" s="20" t="n"/>
      <c r="G270" s="21" t="n"/>
      <c r="H270" s="20" t="n"/>
      <c r="I270" s="22">
        <f>IF(ISNUMBER(H270),H270,IF(AND(ISNUMBER(F270),ISNUMBER(G270)),CEILING(ROUND(F270*(1+G270),2),1000),""))</f>
        <v/>
      </c>
      <c r="J270" s="22">
        <f>IF(AND(ISNUMBER(I270),ISNUMBER(F270)),I270-F270,"")</f>
        <v/>
      </c>
      <c r="K270" s="23">
        <f>IF(AND(ISNUMBER(I270),ISNUMBER(F270)),IF(I270=0,"",(I270-F270)/I270),"")</f>
        <v/>
      </c>
      <c r="L270" s="22" t="n"/>
      <c r="M270" s="24">
        <f>IF(AND(ISNUMBER(I270),ISNUMBER(L270)),I270-L270,"")</f>
        <v/>
      </c>
      <c r="N270" s="25">
        <f>IF(AND(C270="",E270=""),"",IF(AND(H270&lt;&gt;"",NOT(ISNUMBER(H270))),"Cek Harga Manual",IF(AND(F270="-",NOT(ISNUMBER(H270))),"Isi Harga Manual",IF(F270="-","HPP akan dihapus",IF(AND(F270&lt;&gt;"",NOT(ISNUMBER(F270))),"Cek HPP",IF(AND(ISNUMBER(G270),OR(G270&lt;0,G270&gt;20)),"Cek Markup",IF(NOT(ISNUMBER(I270)),"Harga belum ada",IF(F270="","HPP kosong",IF(F270=0,"HPP 0, cek",IF(I270&lt;=F270,"RUGI / impas",IF(NOT(ISNUMBER(L270)),"Baru",IF(M270=0,"OK",IF(ABS(M270)&gt;=0.3*L270,"Berubah besar","Harga berubah")))))))))))))</f>
        <v/>
      </c>
      <c r="O270" s="18" t="n"/>
      <c r="P270" s="18" t="n"/>
      <c r="Q270" s="26" t="n"/>
    </row>
    <row r="271">
      <c r="A271" s="17" t="n"/>
      <c r="B271" s="18" t="n"/>
      <c r="C271" s="19" t="n"/>
      <c r="D271" s="19" t="n"/>
      <c r="E271" s="19" t="n"/>
      <c r="F271" s="20" t="n"/>
      <c r="G271" s="21" t="n"/>
      <c r="H271" s="20" t="n"/>
      <c r="I271" s="22">
        <f>IF(ISNUMBER(H271),H271,IF(AND(ISNUMBER(F271),ISNUMBER(G271)),CEILING(ROUND(F271*(1+G271),2),1000),""))</f>
        <v/>
      </c>
      <c r="J271" s="22">
        <f>IF(AND(ISNUMBER(I271),ISNUMBER(F271)),I271-F271,"")</f>
        <v/>
      </c>
      <c r="K271" s="23">
        <f>IF(AND(ISNUMBER(I271),ISNUMBER(F271)),IF(I271=0,"",(I271-F271)/I271),"")</f>
        <v/>
      </c>
      <c r="L271" s="22" t="n"/>
      <c r="M271" s="24">
        <f>IF(AND(ISNUMBER(I271),ISNUMBER(L271)),I271-L271,"")</f>
        <v/>
      </c>
      <c r="N271" s="25">
        <f>IF(AND(C271="",E271=""),"",IF(AND(H271&lt;&gt;"",NOT(ISNUMBER(H271))),"Cek Harga Manual",IF(AND(F271="-",NOT(ISNUMBER(H271))),"Isi Harga Manual",IF(F271="-","HPP akan dihapus",IF(AND(F271&lt;&gt;"",NOT(ISNUMBER(F271))),"Cek HPP",IF(AND(ISNUMBER(G271),OR(G271&lt;0,G271&gt;20)),"Cek Markup",IF(NOT(ISNUMBER(I271)),"Harga belum ada",IF(F271="","HPP kosong",IF(F271=0,"HPP 0, cek",IF(I271&lt;=F271,"RUGI / impas",IF(NOT(ISNUMBER(L271)),"Baru",IF(M271=0,"OK",IF(ABS(M271)&gt;=0.3*L271,"Berubah besar","Harga berubah")))))))))))))</f>
        <v/>
      </c>
      <c r="O271" s="18" t="n"/>
      <c r="P271" s="18" t="n"/>
      <c r="Q271" s="26" t="n"/>
    </row>
    <row r="272">
      <c r="A272" s="17" t="n"/>
      <c r="B272" s="18" t="n"/>
      <c r="C272" s="19" t="n"/>
      <c r="D272" s="19" t="n"/>
      <c r="E272" s="19" t="n"/>
      <c r="F272" s="20" t="n"/>
      <c r="G272" s="21" t="n"/>
      <c r="H272" s="20" t="n"/>
      <c r="I272" s="22">
        <f>IF(ISNUMBER(H272),H272,IF(AND(ISNUMBER(F272),ISNUMBER(G272)),CEILING(ROUND(F272*(1+G272),2),1000),""))</f>
        <v/>
      </c>
      <c r="J272" s="22">
        <f>IF(AND(ISNUMBER(I272),ISNUMBER(F272)),I272-F272,"")</f>
        <v/>
      </c>
      <c r="K272" s="23">
        <f>IF(AND(ISNUMBER(I272),ISNUMBER(F272)),IF(I272=0,"",(I272-F272)/I272),"")</f>
        <v/>
      </c>
      <c r="L272" s="22" t="n"/>
      <c r="M272" s="24">
        <f>IF(AND(ISNUMBER(I272),ISNUMBER(L272)),I272-L272,"")</f>
        <v/>
      </c>
      <c r="N272" s="25">
        <f>IF(AND(C272="",E272=""),"",IF(AND(H272&lt;&gt;"",NOT(ISNUMBER(H272))),"Cek Harga Manual",IF(AND(F272="-",NOT(ISNUMBER(H272))),"Isi Harga Manual",IF(F272="-","HPP akan dihapus",IF(AND(F272&lt;&gt;"",NOT(ISNUMBER(F272))),"Cek HPP",IF(AND(ISNUMBER(G272),OR(G272&lt;0,G272&gt;20)),"Cek Markup",IF(NOT(ISNUMBER(I272)),"Harga belum ada",IF(F272="","HPP kosong",IF(F272=0,"HPP 0, cek",IF(I272&lt;=F272,"RUGI / impas",IF(NOT(ISNUMBER(L272)),"Baru",IF(M272=0,"OK",IF(ABS(M272)&gt;=0.3*L272,"Berubah besar","Harga berubah")))))))))))))</f>
        <v/>
      </c>
      <c r="O272" s="18" t="n"/>
      <c r="P272" s="18" t="n"/>
      <c r="Q272" s="26" t="n"/>
    </row>
    <row r="273">
      <c r="A273" s="17" t="n"/>
      <c r="B273" s="18" t="n"/>
      <c r="C273" s="19" t="n"/>
      <c r="D273" s="19" t="n"/>
      <c r="E273" s="19" t="n"/>
      <c r="F273" s="20" t="n"/>
      <c r="G273" s="21" t="n"/>
      <c r="H273" s="20" t="n"/>
      <c r="I273" s="22">
        <f>IF(ISNUMBER(H273),H273,IF(AND(ISNUMBER(F273),ISNUMBER(G273)),CEILING(ROUND(F273*(1+G273),2),1000),""))</f>
        <v/>
      </c>
      <c r="J273" s="22">
        <f>IF(AND(ISNUMBER(I273),ISNUMBER(F273)),I273-F273,"")</f>
        <v/>
      </c>
      <c r="K273" s="23">
        <f>IF(AND(ISNUMBER(I273),ISNUMBER(F273)),IF(I273=0,"",(I273-F273)/I273),"")</f>
        <v/>
      </c>
      <c r="L273" s="22" t="n"/>
      <c r="M273" s="24">
        <f>IF(AND(ISNUMBER(I273),ISNUMBER(L273)),I273-L273,"")</f>
        <v/>
      </c>
      <c r="N273" s="25">
        <f>IF(AND(C273="",E273=""),"",IF(AND(H273&lt;&gt;"",NOT(ISNUMBER(H273))),"Cek Harga Manual",IF(AND(F273="-",NOT(ISNUMBER(H273))),"Isi Harga Manual",IF(F273="-","HPP akan dihapus",IF(AND(F273&lt;&gt;"",NOT(ISNUMBER(F273))),"Cek HPP",IF(AND(ISNUMBER(G273),OR(G273&lt;0,G273&gt;20)),"Cek Markup",IF(NOT(ISNUMBER(I273)),"Harga belum ada",IF(F273="","HPP kosong",IF(F273=0,"HPP 0, cek",IF(I273&lt;=F273,"RUGI / impas",IF(NOT(ISNUMBER(L273)),"Baru",IF(M273=0,"OK",IF(ABS(M273)&gt;=0.3*L273,"Berubah besar","Harga berubah")))))))))))))</f>
        <v/>
      </c>
      <c r="O273" s="18" t="n"/>
      <c r="P273" s="18" t="n"/>
      <c r="Q273" s="26" t="n"/>
    </row>
    <row r="274">
      <c r="A274" s="17" t="n"/>
      <c r="B274" s="18" t="n"/>
      <c r="C274" s="19" t="n"/>
      <c r="D274" s="19" t="n"/>
      <c r="E274" s="19" t="n"/>
      <c r="F274" s="20" t="n"/>
      <c r="G274" s="21" t="n"/>
      <c r="H274" s="20" t="n"/>
      <c r="I274" s="22">
        <f>IF(ISNUMBER(H274),H274,IF(AND(ISNUMBER(F274),ISNUMBER(G274)),CEILING(ROUND(F274*(1+G274),2),1000),""))</f>
        <v/>
      </c>
      <c r="J274" s="22">
        <f>IF(AND(ISNUMBER(I274),ISNUMBER(F274)),I274-F274,"")</f>
        <v/>
      </c>
      <c r="K274" s="23">
        <f>IF(AND(ISNUMBER(I274),ISNUMBER(F274)),IF(I274=0,"",(I274-F274)/I274),"")</f>
        <v/>
      </c>
      <c r="L274" s="22" t="n"/>
      <c r="M274" s="24">
        <f>IF(AND(ISNUMBER(I274),ISNUMBER(L274)),I274-L274,"")</f>
        <v/>
      </c>
      <c r="N274" s="25">
        <f>IF(AND(C274="",E274=""),"",IF(AND(H274&lt;&gt;"",NOT(ISNUMBER(H274))),"Cek Harga Manual",IF(AND(F274="-",NOT(ISNUMBER(H274))),"Isi Harga Manual",IF(F274="-","HPP akan dihapus",IF(AND(F274&lt;&gt;"",NOT(ISNUMBER(F274))),"Cek HPP",IF(AND(ISNUMBER(G274),OR(G274&lt;0,G274&gt;20)),"Cek Markup",IF(NOT(ISNUMBER(I274)),"Harga belum ada",IF(F274="","HPP kosong",IF(F274=0,"HPP 0, cek",IF(I274&lt;=F274,"RUGI / impas",IF(NOT(ISNUMBER(L274)),"Baru",IF(M274=0,"OK",IF(ABS(M274)&gt;=0.3*L274,"Berubah besar","Harga berubah")))))))))))))</f>
        <v/>
      </c>
      <c r="O274" s="18" t="n"/>
      <c r="P274" s="18" t="n"/>
      <c r="Q274" s="26" t="n"/>
    </row>
    <row r="275">
      <c r="A275" s="17" t="n"/>
      <c r="B275" s="18" t="n"/>
      <c r="C275" s="19" t="n"/>
      <c r="D275" s="19" t="n"/>
      <c r="E275" s="19" t="n"/>
      <c r="F275" s="20" t="n"/>
      <c r="G275" s="21" t="n"/>
      <c r="H275" s="20" t="n"/>
      <c r="I275" s="22">
        <f>IF(ISNUMBER(H275),H275,IF(AND(ISNUMBER(F275),ISNUMBER(G275)),CEILING(ROUND(F275*(1+G275),2),1000),""))</f>
        <v/>
      </c>
      <c r="J275" s="22">
        <f>IF(AND(ISNUMBER(I275),ISNUMBER(F275)),I275-F275,"")</f>
        <v/>
      </c>
      <c r="K275" s="23">
        <f>IF(AND(ISNUMBER(I275),ISNUMBER(F275)),IF(I275=0,"",(I275-F275)/I275),"")</f>
        <v/>
      </c>
      <c r="L275" s="22" t="n"/>
      <c r="M275" s="24">
        <f>IF(AND(ISNUMBER(I275),ISNUMBER(L275)),I275-L275,"")</f>
        <v/>
      </c>
      <c r="N275" s="25">
        <f>IF(AND(C275="",E275=""),"",IF(AND(H275&lt;&gt;"",NOT(ISNUMBER(H275))),"Cek Harga Manual",IF(AND(F275="-",NOT(ISNUMBER(H275))),"Isi Harga Manual",IF(F275="-","HPP akan dihapus",IF(AND(F275&lt;&gt;"",NOT(ISNUMBER(F275))),"Cek HPP",IF(AND(ISNUMBER(G275),OR(G275&lt;0,G275&gt;20)),"Cek Markup",IF(NOT(ISNUMBER(I275)),"Harga belum ada",IF(F275="","HPP kosong",IF(F275=0,"HPP 0, cek",IF(I275&lt;=F275,"RUGI / impas",IF(NOT(ISNUMBER(L275)),"Baru",IF(M275=0,"OK",IF(ABS(M275)&gt;=0.3*L275,"Berubah besar","Harga berubah")))))))))))))</f>
        <v/>
      </c>
      <c r="O275" s="18" t="n"/>
      <c r="P275" s="18" t="n"/>
      <c r="Q275" s="26" t="n"/>
    </row>
    <row r="276">
      <c r="A276" s="17" t="n"/>
      <c r="B276" s="18" t="n"/>
      <c r="C276" s="19" t="n"/>
      <c r="D276" s="19" t="n"/>
      <c r="E276" s="19" t="n"/>
      <c r="F276" s="20" t="n"/>
      <c r="G276" s="21" t="n"/>
      <c r="H276" s="20" t="n"/>
      <c r="I276" s="22">
        <f>IF(ISNUMBER(H276),H276,IF(AND(ISNUMBER(F276),ISNUMBER(G276)),CEILING(ROUND(F276*(1+G276),2),1000),""))</f>
        <v/>
      </c>
      <c r="J276" s="22">
        <f>IF(AND(ISNUMBER(I276),ISNUMBER(F276)),I276-F276,"")</f>
        <v/>
      </c>
      <c r="K276" s="23">
        <f>IF(AND(ISNUMBER(I276),ISNUMBER(F276)),IF(I276=0,"",(I276-F276)/I276),"")</f>
        <v/>
      </c>
      <c r="L276" s="22" t="n"/>
      <c r="M276" s="24">
        <f>IF(AND(ISNUMBER(I276),ISNUMBER(L276)),I276-L276,"")</f>
        <v/>
      </c>
      <c r="N276" s="25">
        <f>IF(AND(C276="",E276=""),"",IF(AND(H276&lt;&gt;"",NOT(ISNUMBER(H276))),"Cek Harga Manual",IF(AND(F276="-",NOT(ISNUMBER(H276))),"Isi Harga Manual",IF(F276="-","HPP akan dihapus",IF(AND(F276&lt;&gt;"",NOT(ISNUMBER(F276))),"Cek HPP",IF(AND(ISNUMBER(G276),OR(G276&lt;0,G276&gt;20)),"Cek Markup",IF(NOT(ISNUMBER(I276)),"Harga belum ada",IF(F276="","HPP kosong",IF(F276=0,"HPP 0, cek",IF(I276&lt;=F276,"RUGI / impas",IF(NOT(ISNUMBER(L276)),"Baru",IF(M276=0,"OK",IF(ABS(M276)&gt;=0.3*L276,"Berubah besar","Harga berubah")))))))))))))</f>
        <v/>
      </c>
      <c r="O276" s="18" t="n"/>
      <c r="P276" s="18" t="n"/>
      <c r="Q276" s="26" t="n"/>
    </row>
    <row r="277">
      <c r="A277" s="17" t="n"/>
      <c r="B277" s="18" t="n"/>
      <c r="C277" s="19" t="n"/>
      <c r="D277" s="19" t="n"/>
      <c r="E277" s="19" t="n"/>
      <c r="F277" s="20" t="n"/>
      <c r="G277" s="21" t="n"/>
      <c r="H277" s="20" t="n"/>
      <c r="I277" s="22">
        <f>IF(ISNUMBER(H277),H277,IF(AND(ISNUMBER(F277),ISNUMBER(G277)),CEILING(ROUND(F277*(1+G277),2),1000),""))</f>
        <v/>
      </c>
      <c r="J277" s="22">
        <f>IF(AND(ISNUMBER(I277),ISNUMBER(F277)),I277-F277,"")</f>
        <v/>
      </c>
      <c r="K277" s="23">
        <f>IF(AND(ISNUMBER(I277),ISNUMBER(F277)),IF(I277=0,"",(I277-F277)/I277),"")</f>
        <v/>
      </c>
      <c r="L277" s="22" t="n"/>
      <c r="M277" s="24">
        <f>IF(AND(ISNUMBER(I277),ISNUMBER(L277)),I277-L277,"")</f>
        <v/>
      </c>
      <c r="N277" s="25">
        <f>IF(AND(C277="",E277=""),"",IF(AND(H277&lt;&gt;"",NOT(ISNUMBER(H277))),"Cek Harga Manual",IF(AND(F277="-",NOT(ISNUMBER(H277))),"Isi Harga Manual",IF(F277="-","HPP akan dihapus",IF(AND(F277&lt;&gt;"",NOT(ISNUMBER(F277))),"Cek HPP",IF(AND(ISNUMBER(G277),OR(G277&lt;0,G277&gt;20)),"Cek Markup",IF(NOT(ISNUMBER(I277)),"Harga belum ada",IF(F277="","HPP kosong",IF(F277=0,"HPP 0, cek",IF(I277&lt;=F277,"RUGI / impas",IF(NOT(ISNUMBER(L277)),"Baru",IF(M277=0,"OK",IF(ABS(M277)&gt;=0.3*L277,"Berubah besar","Harga berubah")))))))))))))</f>
        <v/>
      </c>
      <c r="O277" s="18" t="n"/>
      <c r="P277" s="18" t="n"/>
      <c r="Q277" s="26" t="n"/>
    </row>
    <row r="278">
      <c r="A278" s="17" t="n"/>
      <c r="B278" s="18" t="n"/>
      <c r="C278" s="19" t="n"/>
      <c r="D278" s="19" t="n"/>
      <c r="E278" s="19" t="n"/>
      <c r="F278" s="20" t="n"/>
      <c r="G278" s="21" t="n"/>
      <c r="H278" s="20" t="n"/>
      <c r="I278" s="22">
        <f>IF(ISNUMBER(H278),H278,IF(AND(ISNUMBER(F278),ISNUMBER(G278)),CEILING(ROUND(F278*(1+G278),2),1000),""))</f>
        <v/>
      </c>
      <c r="J278" s="22">
        <f>IF(AND(ISNUMBER(I278),ISNUMBER(F278)),I278-F278,"")</f>
        <v/>
      </c>
      <c r="K278" s="23">
        <f>IF(AND(ISNUMBER(I278),ISNUMBER(F278)),IF(I278=0,"",(I278-F278)/I278),"")</f>
        <v/>
      </c>
      <c r="L278" s="22" t="n"/>
      <c r="M278" s="24">
        <f>IF(AND(ISNUMBER(I278),ISNUMBER(L278)),I278-L278,"")</f>
        <v/>
      </c>
      <c r="N278" s="25">
        <f>IF(AND(C278="",E278=""),"",IF(AND(H278&lt;&gt;"",NOT(ISNUMBER(H278))),"Cek Harga Manual",IF(AND(F278="-",NOT(ISNUMBER(H278))),"Isi Harga Manual",IF(F278="-","HPP akan dihapus",IF(AND(F278&lt;&gt;"",NOT(ISNUMBER(F278))),"Cek HPP",IF(AND(ISNUMBER(G278),OR(G278&lt;0,G278&gt;20)),"Cek Markup",IF(NOT(ISNUMBER(I278)),"Harga belum ada",IF(F278="","HPP kosong",IF(F278=0,"HPP 0, cek",IF(I278&lt;=F278,"RUGI / impas",IF(NOT(ISNUMBER(L278)),"Baru",IF(M278=0,"OK",IF(ABS(M278)&gt;=0.3*L278,"Berubah besar","Harga berubah")))))))))))))</f>
        <v/>
      </c>
      <c r="O278" s="18" t="n"/>
      <c r="P278" s="18" t="n"/>
      <c r="Q278" s="26" t="n"/>
    </row>
    <row r="279">
      <c r="A279" s="17" t="n"/>
      <c r="B279" s="18" t="n"/>
      <c r="C279" s="19" t="n"/>
      <c r="D279" s="19" t="n"/>
      <c r="E279" s="19" t="n"/>
      <c r="F279" s="20" t="n"/>
      <c r="G279" s="21" t="n"/>
      <c r="H279" s="20" t="n"/>
      <c r="I279" s="22">
        <f>IF(ISNUMBER(H279),H279,IF(AND(ISNUMBER(F279),ISNUMBER(G279)),CEILING(ROUND(F279*(1+G279),2),1000),""))</f>
        <v/>
      </c>
      <c r="J279" s="22">
        <f>IF(AND(ISNUMBER(I279),ISNUMBER(F279)),I279-F279,"")</f>
        <v/>
      </c>
      <c r="K279" s="23">
        <f>IF(AND(ISNUMBER(I279),ISNUMBER(F279)),IF(I279=0,"",(I279-F279)/I279),"")</f>
        <v/>
      </c>
      <c r="L279" s="22" t="n"/>
      <c r="M279" s="24">
        <f>IF(AND(ISNUMBER(I279),ISNUMBER(L279)),I279-L279,"")</f>
        <v/>
      </c>
      <c r="N279" s="25">
        <f>IF(AND(C279="",E279=""),"",IF(AND(H279&lt;&gt;"",NOT(ISNUMBER(H279))),"Cek Harga Manual",IF(AND(F279="-",NOT(ISNUMBER(H279))),"Isi Harga Manual",IF(F279="-","HPP akan dihapus",IF(AND(F279&lt;&gt;"",NOT(ISNUMBER(F279))),"Cek HPP",IF(AND(ISNUMBER(G279),OR(G279&lt;0,G279&gt;20)),"Cek Markup",IF(NOT(ISNUMBER(I279)),"Harga belum ada",IF(F279="","HPP kosong",IF(F279=0,"HPP 0, cek",IF(I279&lt;=F279,"RUGI / impas",IF(NOT(ISNUMBER(L279)),"Baru",IF(M279=0,"OK",IF(ABS(M279)&gt;=0.3*L279,"Berubah besar","Harga berubah")))))))))))))</f>
        <v/>
      </c>
      <c r="O279" s="18" t="n"/>
      <c r="P279" s="18" t="n"/>
      <c r="Q279" s="26" t="n"/>
    </row>
    <row r="280">
      <c r="A280" s="17" t="n"/>
      <c r="B280" s="18" t="n"/>
      <c r="C280" s="19" t="n"/>
      <c r="D280" s="19" t="n"/>
      <c r="E280" s="19" t="n"/>
      <c r="F280" s="20" t="n"/>
      <c r="G280" s="21" t="n"/>
      <c r="H280" s="20" t="n"/>
      <c r="I280" s="22">
        <f>IF(ISNUMBER(H280),H280,IF(AND(ISNUMBER(F280),ISNUMBER(G280)),CEILING(ROUND(F280*(1+G280),2),1000),""))</f>
        <v/>
      </c>
      <c r="J280" s="22">
        <f>IF(AND(ISNUMBER(I280),ISNUMBER(F280)),I280-F280,"")</f>
        <v/>
      </c>
      <c r="K280" s="23">
        <f>IF(AND(ISNUMBER(I280),ISNUMBER(F280)),IF(I280=0,"",(I280-F280)/I280),"")</f>
        <v/>
      </c>
      <c r="L280" s="22" t="n"/>
      <c r="M280" s="24">
        <f>IF(AND(ISNUMBER(I280),ISNUMBER(L280)),I280-L280,"")</f>
        <v/>
      </c>
      <c r="N280" s="25">
        <f>IF(AND(C280="",E280=""),"",IF(AND(H280&lt;&gt;"",NOT(ISNUMBER(H280))),"Cek Harga Manual",IF(AND(F280="-",NOT(ISNUMBER(H280))),"Isi Harga Manual",IF(F280="-","HPP akan dihapus",IF(AND(F280&lt;&gt;"",NOT(ISNUMBER(F280))),"Cek HPP",IF(AND(ISNUMBER(G280),OR(G280&lt;0,G280&gt;20)),"Cek Markup",IF(NOT(ISNUMBER(I280)),"Harga belum ada",IF(F280="","HPP kosong",IF(F280=0,"HPP 0, cek",IF(I280&lt;=F280,"RUGI / impas",IF(NOT(ISNUMBER(L280)),"Baru",IF(M280=0,"OK",IF(ABS(M280)&gt;=0.3*L280,"Berubah besar","Harga berubah")))))))))))))</f>
        <v/>
      </c>
      <c r="O280" s="18" t="n"/>
      <c r="P280" s="18" t="n"/>
      <c r="Q280" s="26" t="n"/>
    </row>
    <row r="281">
      <c r="A281" s="17" t="n"/>
      <c r="B281" s="18" t="n"/>
      <c r="C281" s="19" t="n"/>
      <c r="D281" s="19" t="n"/>
      <c r="E281" s="19" t="n"/>
      <c r="F281" s="20" t="n"/>
      <c r="G281" s="21" t="n"/>
      <c r="H281" s="20" t="n"/>
      <c r="I281" s="22">
        <f>IF(ISNUMBER(H281),H281,IF(AND(ISNUMBER(F281),ISNUMBER(G281)),CEILING(ROUND(F281*(1+G281),2),1000),""))</f>
        <v/>
      </c>
      <c r="J281" s="22">
        <f>IF(AND(ISNUMBER(I281),ISNUMBER(F281)),I281-F281,"")</f>
        <v/>
      </c>
      <c r="K281" s="23">
        <f>IF(AND(ISNUMBER(I281),ISNUMBER(F281)),IF(I281=0,"",(I281-F281)/I281),"")</f>
        <v/>
      </c>
      <c r="L281" s="22" t="n"/>
      <c r="M281" s="24">
        <f>IF(AND(ISNUMBER(I281),ISNUMBER(L281)),I281-L281,"")</f>
        <v/>
      </c>
      <c r="N281" s="25">
        <f>IF(AND(C281="",E281=""),"",IF(AND(H281&lt;&gt;"",NOT(ISNUMBER(H281))),"Cek Harga Manual",IF(AND(F281="-",NOT(ISNUMBER(H281))),"Isi Harga Manual",IF(F281="-","HPP akan dihapus",IF(AND(F281&lt;&gt;"",NOT(ISNUMBER(F281))),"Cek HPP",IF(AND(ISNUMBER(G281),OR(G281&lt;0,G281&gt;20)),"Cek Markup",IF(NOT(ISNUMBER(I281)),"Harga belum ada",IF(F281="","HPP kosong",IF(F281=0,"HPP 0, cek",IF(I281&lt;=F281,"RUGI / impas",IF(NOT(ISNUMBER(L281)),"Baru",IF(M281=0,"OK",IF(ABS(M281)&gt;=0.3*L281,"Berubah besar","Harga berubah")))))))))))))</f>
        <v/>
      </c>
      <c r="O281" s="18" t="n"/>
      <c r="P281" s="18" t="n"/>
      <c r="Q281" s="26" t="n"/>
    </row>
    <row r="282">
      <c r="A282" s="17" t="n"/>
      <c r="B282" s="18" t="n"/>
      <c r="C282" s="19" t="n"/>
      <c r="D282" s="19" t="n"/>
      <c r="E282" s="19" t="n"/>
      <c r="F282" s="20" t="n"/>
      <c r="G282" s="21" t="n"/>
      <c r="H282" s="20" t="n"/>
      <c r="I282" s="22">
        <f>IF(ISNUMBER(H282),H282,IF(AND(ISNUMBER(F282),ISNUMBER(G282)),CEILING(ROUND(F282*(1+G282),2),1000),""))</f>
        <v/>
      </c>
      <c r="J282" s="22">
        <f>IF(AND(ISNUMBER(I282),ISNUMBER(F282)),I282-F282,"")</f>
        <v/>
      </c>
      <c r="K282" s="23">
        <f>IF(AND(ISNUMBER(I282),ISNUMBER(F282)),IF(I282=0,"",(I282-F282)/I282),"")</f>
        <v/>
      </c>
      <c r="L282" s="22" t="n"/>
      <c r="M282" s="24">
        <f>IF(AND(ISNUMBER(I282),ISNUMBER(L282)),I282-L282,"")</f>
        <v/>
      </c>
      <c r="N282" s="25">
        <f>IF(AND(C282="",E282=""),"",IF(AND(H282&lt;&gt;"",NOT(ISNUMBER(H282))),"Cek Harga Manual",IF(AND(F282="-",NOT(ISNUMBER(H282))),"Isi Harga Manual",IF(F282="-","HPP akan dihapus",IF(AND(F282&lt;&gt;"",NOT(ISNUMBER(F282))),"Cek HPP",IF(AND(ISNUMBER(G282),OR(G282&lt;0,G282&gt;20)),"Cek Markup",IF(NOT(ISNUMBER(I282)),"Harga belum ada",IF(F282="","HPP kosong",IF(F282=0,"HPP 0, cek",IF(I282&lt;=F282,"RUGI / impas",IF(NOT(ISNUMBER(L282)),"Baru",IF(M282=0,"OK",IF(ABS(M282)&gt;=0.3*L282,"Berubah besar","Harga berubah")))))))))))))</f>
        <v/>
      </c>
      <c r="O282" s="18" t="n"/>
      <c r="P282" s="18" t="n"/>
      <c r="Q282" s="26" t="n"/>
    </row>
    <row r="283">
      <c r="A283" s="17" t="n"/>
      <c r="B283" s="18" t="n"/>
      <c r="C283" s="19" t="n"/>
      <c r="D283" s="19" t="n"/>
      <c r="E283" s="19" t="n"/>
      <c r="F283" s="20" t="n"/>
      <c r="G283" s="21" t="n"/>
      <c r="H283" s="20" t="n"/>
      <c r="I283" s="22">
        <f>IF(ISNUMBER(H283),H283,IF(AND(ISNUMBER(F283),ISNUMBER(G283)),CEILING(ROUND(F283*(1+G283),2),1000),""))</f>
        <v/>
      </c>
      <c r="J283" s="22">
        <f>IF(AND(ISNUMBER(I283),ISNUMBER(F283)),I283-F283,"")</f>
        <v/>
      </c>
      <c r="K283" s="23">
        <f>IF(AND(ISNUMBER(I283),ISNUMBER(F283)),IF(I283=0,"",(I283-F283)/I283),"")</f>
        <v/>
      </c>
      <c r="L283" s="22" t="n"/>
      <c r="M283" s="24">
        <f>IF(AND(ISNUMBER(I283),ISNUMBER(L283)),I283-L283,"")</f>
        <v/>
      </c>
      <c r="N283" s="25">
        <f>IF(AND(C283="",E283=""),"",IF(AND(H283&lt;&gt;"",NOT(ISNUMBER(H283))),"Cek Harga Manual",IF(AND(F283="-",NOT(ISNUMBER(H283))),"Isi Harga Manual",IF(F283="-","HPP akan dihapus",IF(AND(F283&lt;&gt;"",NOT(ISNUMBER(F283))),"Cek HPP",IF(AND(ISNUMBER(G283),OR(G283&lt;0,G283&gt;20)),"Cek Markup",IF(NOT(ISNUMBER(I283)),"Harga belum ada",IF(F283="","HPP kosong",IF(F283=0,"HPP 0, cek",IF(I283&lt;=F283,"RUGI / impas",IF(NOT(ISNUMBER(L283)),"Baru",IF(M283=0,"OK",IF(ABS(M283)&gt;=0.3*L283,"Berubah besar","Harga berubah")))))))))))))</f>
        <v/>
      </c>
      <c r="O283" s="18" t="n"/>
      <c r="P283" s="18" t="n"/>
      <c r="Q283" s="26" t="n"/>
    </row>
    <row r="284">
      <c r="A284" s="17" t="n"/>
      <c r="B284" s="18" t="n"/>
      <c r="C284" s="19" t="n"/>
      <c r="D284" s="19" t="n"/>
      <c r="E284" s="19" t="n"/>
      <c r="F284" s="20" t="n"/>
      <c r="G284" s="21" t="n"/>
      <c r="H284" s="20" t="n"/>
      <c r="I284" s="22">
        <f>IF(ISNUMBER(H284),H284,IF(AND(ISNUMBER(F284),ISNUMBER(G284)),CEILING(ROUND(F284*(1+G284),2),1000),""))</f>
        <v/>
      </c>
      <c r="J284" s="22">
        <f>IF(AND(ISNUMBER(I284),ISNUMBER(F284)),I284-F284,"")</f>
        <v/>
      </c>
      <c r="K284" s="23">
        <f>IF(AND(ISNUMBER(I284),ISNUMBER(F284)),IF(I284=0,"",(I284-F284)/I284),"")</f>
        <v/>
      </c>
      <c r="L284" s="22" t="n"/>
      <c r="M284" s="24">
        <f>IF(AND(ISNUMBER(I284),ISNUMBER(L284)),I284-L284,"")</f>
        <v/>
      </c>
      <c r="N284" s="25">
        <f>IF(AND(C284="",E284=""),"",IF(AND(H284&lt;&gt;"",NOT(ISNUMBER(H284))),"Cek Harga Manual",IF(AND(F284="-",NOT(ISNUMBER(H284))),"Isi Harga Manual",IF(F284="-","HPP akan dihapus",IF(AND(F284&lt;&gt;"",NOT(ISNUMBER(F284))),"Cek HPP",IF(AND(ISNUMBER(G284),OR(G284&lt;0,G284&gt;20)),"Cek Markup",IF(NOT(ISNUMBER(I284)),"Harga belum ada",IF(F284="","HPP kosong",IF(F284=0,"HPP 0, cek",IF(I284&lt;=F284,"RUGI / impas",IF(NOT(ISNUMBER(L284)),"Baru",IF(M284=0,"OK",IF(ABS(M284)&gt;=0.3*L284,"Berubah besar","Harga berubah")))))))))))))</f>
        <v/>
      </c>
      <c r="O284" s="18" t="n"/>
      <c r="P284" s="18" t="n"/>
      <c r="Q284" s="26" t="n"/>
    </row>
    <row r="285">
      <c r="A285" s="17" t="n"/>
      <c r="B285" s="18" t="n"/>
      <c r="C285" s="19" t="n"/>
      <c r="D285" s="19" t="n"/>
      <c r="E285" s="19" t="n"/>
      <c r="F285" s="20" t="n"/>
      <c r="G285" s="21" t="n"/>
      <c r="H285" s="20" t="n"/>
      <c r="I285" s="22">
        <f>IF(ISNUMBER(H285),H285,IF(AND(ISNUMBER(F285),ISNUMBER(G285)),CEILING(ROUND(F285*(1+G285),2),1000),""))</f>
        <v/>
      </c>
      <c r="J285" s="22">
        <f>IF(AND(ISNUMBER(I285),ISNUMBER(F285)),I285-F285,"")</f>
        <v/>
      </c>
      <c r="K285" s="23">
        <f>IF(AND(ISNUMBER(I285),ISNUMBER(F285)),IF(I285=0,"",(I285-F285)/I285),"")</f>
        <v/>
      </c>
      <c r="L285" s="22" t="n"/>
      <c r="M285" s="24">
        <f>IF(AND(ISNUMBER(I285),ISNUMBER(L285)),I285-L285,"")</f>
        <v/>
      </c>
      <c r="N285" s="25">
        <f>IF(AND(C285="",E285=""),"",IF(AND(H285&lt;&gt;"",NOT(ISNUMBER(H285))),"Cek Harga Manual",IF(AND(F285="-",NOT(ISNUMBER(H285))),"Isi Harga Manual",IF(F285="-","HPP akan dihapus",IF(AND(F285&lt;&gt;"",NOT(ISNUMBER(F285))),"Cek HPP",IF(AND(ISNUMBER(G285),OR(G285&lt;0,G285&gt;20)),"Cek Markup",IF(NOT(ISNUMBER(I285)),"Harga belum ada",IF(F285="","HPP kosong",IF(F285=0,"HPP 0, cek",IF(I285&lt;=F285,"RUGI / impas",IF(NOT(ISNUMBER(L285)),"Baru",IF(M285=0,"OK",IF(ABS(M285)&gt;=0.3*L285,"Berubah besar","Harga berubah")))))))))))))</f>
        <v/>
      </c>
      <c r="O285" s="18" t="n"/>
      <c r="P285" s="18" t="n"/>
      <c r="Q285" s="26" t="n"/>
    </row>
    <row r="286">
      <c r="A286" s="17" t="n"/>
      <c r="B286" s="18" t="n"/>
      <c r="C286" s="19" t="n"/>
      <c r="D286" s="19" t="n"/>
      <c r="E286" s="19" t="n"/>
      <c r="F286" s="20" t="n"/>
      <c r="G286" s="21" t="n"/>
      <c r="H286" s="20" t="n"/>
      <c r="I286" s="22">
        <f>IF(ISNUMBER(H286),H286,IF(AND(ISNUMBER(F286),ISNUMBER(G286)),CEILING(ROUND(F286*(1+G286),2),1000),""))</f>
        <v/>
      </c>
      <c r="J286" s="22">
        <f>IF(AND(ISNUMBER(I286),ISNUMBER(F286)),I286-F286,"")</f>
        <v/>
      </c>
      <c r="K286" s="23">
        <f>IF(AND(ISNUMBER(I286),ISNUMBER(F286)),IF(I286=0,"",(I286-F286)/I286),"")</f>
        <v/>
      </c>
      <c r="L286" s="22" t="n"/>
      <c r="M286" s="24">
        <f>IF(AND(ISNUMBER(I286),ISNUMBER(L286)),I286-L286,"")</f>
        <v/>
      </c>
      <c r="N286" s="25">
        <f>IF(AND(C286="",E286=""),"",IF(AND(H286&lt;&gt;"",NOT(ISNUMBER(H286))),"Cek Harga Manual",IF(AND(F286="-",NOT(ISNUMBER(H286))),"Isi Harga Manual",IF(F286="-","HPP akan dihapus",IF(AND(F286&lt;&gt;"",NOT(ISNUMBER(F286))),"Cek HPP",IF(AND(ISNUMBER(G286),OR(G286&lt;0,G286&gt;20)),"Cek Markup",IF(NOT(ISNUMBER(I286)),"Harga belum ada",IF(F286="","HPP kosong",IF(F286=0,"HPP 0, cek",IF(I286&lt;=F286,"RUGI / impas",IF(NOT(ISNUMBER(L286)),"Baru",IF(M286=0,"OK",IF(ABS(M286)&gt;=0.3*L286,"Berubah besar","Harga berubah")))))))))))))</f>
        <v/>
      </c>
      <c r="O286" s="18" t="n"/>
      <c r="P286" s="18" t="n"/>
      <c r="Q286" s="26" t="n"/>
    </row>
    <row r="287">
      <c r="A287" s="17" t="n"/>
      <c r="B287" s="18" t="n"/>
      <c r="C287" s="19" t="n"/>
      <c r="D287" s="19" t="n"/>
      <c r="E287" s="19" t="n"/>
      <c r="F287" s="20" t="n"/>
      <c r="G287" s="21" t="n"/>
      <c r="H287" s="20" t="n"/>
      <c r="I287" s="22">
        <f>IF(ISNUMBER(H287),H287,IF(AND(ISNUMBER(F287),ISNUMBER(G287)),CEILING(ROUND(F287*(1+G287),2),1000),""))</f>
        <v/>
      </c>
      <c r="J287" s="22">
        <f>IF(AND(ISNUMBER(I287),ISNUMBER(F287)),I287-F287,"")</f>
        <v/>
      </c>
      <c r="K287" s="23">
        <f>IF(AND(ISNUMBER(I287),ISNUMBER(F287)),IF(I287=0,"",(I287-F287)/I287),"")</f>
        <v/>
      </c>
      <c r="L287" s="22" t="n"/>
      <c r="M287" s="24">
        <f>IF(AND(ISNUMBER(I287),ISNUMBER(L287)),I287-L287,"")</f>
        <v/>
      </c>
      <c r="N287" s="25">
        <f>IF(AND(C287="",E287=""),"",IF(AND(H287&lt;&gt;"",NOT(ISNUMBER(H287))),"Cek Harga Manual",IF(AND(F287="-",NOT(ISNUMBER(H287))),"Isi Harga Manual",IF(F287="-","HPP akan dihapus",IF(AND(F287&lt;&gt;"",NOT(ISNUMBER(F287))),"Cek HPP",IF(AND(ISNUMBER(G287),OR(G287&lt;0,G287&gt;20)),"Cek Markup",IF(NOT(ISNUMBER(I287)),"Harga belum ada",IF(F287="","HPP kosong",IF(F287=0,"HPP 0, cek",IF(I287&lt;=F287,"RUGI / impas",IF(NOT(ISNUMBER(L287)),"Baru",IF(M287=0,"OK",IF(ABS(M287)&gt;=0.3*L287,"Berubah besar","Harga berubah")))))))))))))</f>
        <v/>
      </c>
      <c r="O287" s="18" t="n"/>
      <c r="P287" s="18" t="n"/>
      <c r="Q287" s="26" t="n"/>
    </row>
    <row r="288">
      <c r="A288" s="17" t="n"/>
      <c r="B288" s="18" t="n"/>
      <c r="C288" s="19" t="n"/>
      <c r="D288" s="19" t="n"/>
      <c r="E288" s="19" t="n"/>
      <c r="F288" s="20" t="n"/>
      <c r="G288" s="21" t="n"/>
      <c r="H288" s="20" t="n"/>
      <c r="I288" s="22">
        <f>IF(ISNUMBER(H288),H288,IF(AND(ISNUMBER(F288),ISNUMBER(G288)),CEILING(ROUND(F288*(1+G288),2),1000),""))</f>
        <v/>
      </c>
      <c r="J288" s="22">
        <f>IF(AND(ISNUMBER(I288),ISNUMBER(F288)),I288-F288,"")</f>
        <v/>
      </c>
      <c r="K288" s="23">
        <f>IF(AND(ISNUMBER(I288),ISNUMBER(F288)),IF(I288=0,"",(I288-F288)/I288),"")</f>
        <v/>
      </c>
      <c r="L288" s="22" t="n"/>
      <c r="M288" s="24">
        <f>IF(AND(ISNUMBER(I288),ISNUMBER(L288)),I288-L288,"")</f>
        <v/>
      </c>
      <c r="N288" s="25">
        <f>IF(AND(C288="",E288=""),"",IF(AND(H288&lt;&gt;"",NOT(ISNUMBER(H288))),"Cek Harga Manual",IF(AND(F288="-",NOT(ISNUMBER(H288))),"Isi Harga Manual",IF(F288="-","HPP akan dihapus",IF(AND(F288&lt;&gt;"",NOT(ISNUMBER(F288))),"Cek HPP",IF(AND(ISNUMBER(G288),OR(G288&lt;0,G288&gt;20)),"Cek Markup",IF(NOT(ISNUMBER(I288)),"Harga belum ada",IF(F288="","HPP kosong",IF(F288=0,"HPP 0, cek",IF(I288&lt;=F288,"RUGI / impas",IF(NOT(ISNUMBER(L288)),"Baru",IF(M288=0,"OK",IF(ABS(M288)&gt;=0.3*L288,"Berubah besar","Harga berubah")))))))))))))</f>
        <v/>
      </c>
      <c r="O288" s="18" t="n"/>
      <c r="P288" s="18" t="n"/>
      <c r="Q288" s="26" t="n"/>
    </row>
    <row r="289">
      <c r="A289" s="17" t="n"/>
      <c r="B289" s="18" t="n"/>
      <c r="C289" s="19" t="n"/>
      <c r="D289" s="19" t="n"/>
      <c r="E289" s="19" t="n"/>
      <c r="F289" s="20" t="n"/>
      <c r="G289" s="21" t="n"/>
      <c r="H289" s="20" t="n"/>
      <c r="I289" s="22">
        <f>IF(ISNUMBER(H289),H289,IF(AND(ISNUMBER(F289),ISNUMBER(G289)),CEILING(ROUND(F289*(1+G289),2),1000),""))</f>
        <v/>
      </c>
      <c r="J289" s="22">
        <f>IF(AND(ISNUMBER(I289),ISNUMBER(F289)),I289-F289,"")</f>
        <v/>
      </c>
      <c r="K289" s="23">
        <f>IF(AND(ISNUMBER(I289),ISNUMBER(F289)),IF(I289=0,"",(I289-F289)/I289),"")</f>
        <v/>
      </c>
      <c r="L289" s="22" t="n"/>
      <c r="M289" s="24">
        <f>IF(AND(ISNUMBER(I289),ISNUMBER(L289)),I289-L289,"")</f>
        <v/>
      </c>
      <c r="N289" s="25">
        <f>IF(AND(C289="",E289=""),"",IF(AND(H289&lt;&gt;"",NOT(ISNUMBER(H289))),"Cek Harga Manual",IF(AND(F289="-",NOT(ISNUMBER(H289))),"Isi Harga Manual",IF(F289="-","HPP akan dihapus",IF(AND(F289&lt;&gt;"",NOT(ISNUMBER(F289))),"Cek HPP",IF(AND(ISNUMBER(G289),OR(G289&lt;0,G289&gt;20)),"Cek Markup",IF(NOT(ISNUMBER(I289)),"Harga belum ada",IF(F289="","HPP kosong",IF(F289=0,"HPP 0, cek",IF(I289&lt;=F289,"RUGI / impas",IF(NOT(ISNUMBER(L289)),"Baru",IF(M289=0,"OK",IF(ABS(M289)&gt;=0.3*L289,"Berubah besar","Harga berubah")))))))))))))</f>
        <v/>
      </c>
      <c r="O289" s="18" t="n"/>
      <c r="P289" s="18" t="n"/>
      <c r="Q289" s="26" t="n"/>
    </row>
    <row r="290">
      <c r="A290" s="17" t="n"/>
      <c r="B290" s="18" t="n"/>
      <c r="C290" s="19" t="n"/>
      <c r="D290" s="19" t="n"/>
      <c r="E290" s="19" t="n"/>
      <c r="F290" s="20" t="n"/>
      <c r="G290" s="21" t="n"/>
      <c r="H290" s="20" t="n"/>
      <c r="I290" s="22">
        <f>IF(ISNUMBER(H290),H290,IF(AND(ISNUMBER(F290),ISNUMBER(G290)),CEILING(ROUND(F290*(1+G290),2),1000),""))</f>
        <v/>
      </c>
      <c r="J290" s="22">
        <f>IF(AND(ISNUMBER(I290),ISNUMBER(F290)),I290-F290,"")</f>
        <v/>
      </c>
      <c r="K290" s="23">
        <f>IF(AND(ISNUMBER(I290),ISNUMBER(F290)),IF(I290=0,"",(I290-F290)/I290),"")</f>
        <v/>
      </c>
      <c r="L290" s="22" t="n"/>
      <c r="M290" s="24">
        <f>IF(AND(ISNUMBER(I290),ISNUMBER(L290)),I290-L290,"")</f>
        <v/>
      </c>
      <c r="N290" s="25">
        <f>IF(AND(C290="",E290=""),"",IF(AND(H290&lt;&gt;"",NOT(ISNUMBER(H290))),"Cek Harga Manual",IF(AND(F290="-",NOT(ISNUMBER(H290))),"Isi Harga Manual",IF(F290="-","HPP akan dihapus",IF(AND(F290&lt;&gt;"",NOT(ISNUMBER(F290))),"Cek HPP",IF(AND(ISNUMBER(G290),OR(G290&lt;0,G290&gt;20)),"Cek Markup",IF(NOT(ISNUMBER(I290)),"Harga belum ada",IF(F290="","HPP kosong",IF(F290=0,"HPP 0, cek",IF(I290&lt;=F290,"RUGI / impas",IF(NOT(ISNUMBER(L290)),"Baru",IF(M290=0,"OK",IF(ABS(M290)&gt;=0.3*L290,"Berubah besar","Harga berubah")))))))))))))</f>
        <v/>
      </c>
      <c r="O290" s="18" t="n"/>
      <c r="P290" s="18" t="n"/>
      <c r="Q290" s="26" t="n"/>
    </row>
    <row r="291">
      <c r="A291" s="17" t="n"/>
      <c r="B291" s="18" t="n"/>
      <c r="C291" s="19" t="n"/>
      <c r="D291" s="19" t="n"/>
      <c r="E291" s="19" t="n"/>
      <c r="F291" s="20" t="n"/>
      <c r="G291" s="21" t="n"/>
      <c r="H291" s="20" t="n"/>
      <c r="I291" s="22">
        <f>IF(ISNUMBER(H291),H291,IF(AND(ISNUMBER(F291),ISNUMBER(G291)),CEILING(ROUND(F291*(1+G291),2),1000),""))</f>
        <v/>
      </c>
      <c r="J291" s="22">
        <f>IF(AND(ISNUMBER(I291),ISNUMBER(F291)),I291-F291,"")</f>
        <v/>
      </c>
      <c r="K291" s="23">
        <f>IF(AND(ISNUMBER(I291),ISNUMBER(F291)),IF(I291=0,"",(I291-F291)/I291),"")</f>
        <v/>
      </c>
      <c r="L291" s="22" t="n"/>
      <c r="M291" s="24">
        <f>IF(AND(ISNUMBER(I291),ISNUMBER(L291)),I291-L291,"")</f>
        <v/>
      </c>
      <c r="N291" s="25">
        <f>IF(AND(C291="",E291=""),"",IF(AND(H291&lt;&gt;"",NOT(ISNUMBER(H291))),"Cek Harga Manual",IF(AND(F291="-",NOT(ISNUMBER(H291))),"Isi Harga Manual",IF(F291="-","HPP akan dihapus",IF(AND(F291&lt;&gt;"",NOT(ISNUMBER(F291))),"Cek HPP",IF(AND(ISNUMBER(G291),OR(G291&lt;0,G291&gt;20)),"Cek Markup",IF(NOT(ISNUMBER(I291)),"Harga belum ada",IF(F291="","HPP kosong",IF(F291=0,"HPP 0, cek",IF(I291&lt;=F291,"RUGI / impas",IF(NOT(ISNUMBER(L291)),"Baru",IF(M291=0,"OK",IF(ABS(M291)&gt;=0.3*L291,"Berubah besar","Harga berubah")))))))))))))</f>
        <v/>
      </c>
      <c r="O291" s="18" t="n"/>
      <c r="P291" s="18" t="n"/>
      <c r="Q291" s="26" t="n"/>
    </row>
    <row r="292">
      <c r="A292" s="17" t="n"/>
      <c r="B292" s="18" t="n"/>
      <c r="C292" s="19" t="n"/>
      <c r="D292" s="19" t="n"/>
      <c r="E292" s="19" t="n"/>
      <c r="F292" s="20" t="n"/>
      <c r="G292" s="21" t="n"/>
      <c r="H292" s="20" t="n"/>
      <c r="I292" s="22">
        <f>IF(ISNUMBER(H292),H292,IF(AND(ISNUMBER(F292),ISNUMBER(G292)),CEILING(ROUND(F292*(1+G292),2),1000),""))</f>
        <v/>
      </c>
      <c r="J292" s="22">
        <f>IF(AND(ISNUMBER(I292),ISNUMBER(F292)),I292-F292,"")</f>
        <v/>
      </c>
      <c r="K292" s="23">
        <f>IF(AND(ISNUMBER(I292),ISNUMBER(F292)),IF(I292=0,"",(I292-F292)/I292),"")</f>
        <v/>
      </c>
      <c r="L292" s="22" t="n"/>
      <c r="M292" s="24">
        <f>IF(AND(ISNUMBER(I292),ISNUMBER(L292)),I292-L292,"")</f>
        <v/>
      </c>
      <c r="N292" s="25">
        <f>IF(AND(C292="",E292=""),"",IF(AND(H292&lt;&gt;"",NOT(ISNUMBER(H292))),"Cek Harga Manual",IF(AND(F292="-",NOT(ISNUMBER(H292))),"Isi Harga Manual",IF(F292="-","HPP akan dihapus",IF(AND(F292&lt;&gt;"",NOT(ISNUMBER(F292))),"Cek HPP",IF(AND(ISNUMBER(G292),OR(G292&lt;0,G292&gt;20)),"Cek Markup",IF(NOT(ISNUMBER(I292)),"Harga belum ada",IF(F292="","HPP kosong",IF(F292=0,"HPP 0, cek",IF(I292&lt;=F292,"RUGI / impas",IF(NOT(ISNUMBER(L292)),"Baru",IF(M292=0,"OK",IF(ABS(M292)&gt;=0.3*L292,"Berubah besar","Harga berubah")))))))))))))</f>
        <v/>
      </c>
      <c r="O292" s="18" t="n"/>
      <c r="P292" s="18" t="n"/>
      <c r="Q292" s="26" t="n"/>
    </row>
    <row r="293">
      <c r="A293" s="17" t="n"/>
      <c r="B293" s="18" t="n"/>
      <c r="C293" s="19" t="n"/>
      <c r="D293" s="19" t="n"/>
      <c r="E293" s="19" t="n"/>
      <c r="F293" s="20" t="n"/>
      <c r="G293" s="21" t="n"/>
      <c r="H293" s="20" t="n"/>
      <c r="I293" s="22">
        <f>IF(ISNUMBER(H293),H293,IF(AND(ISNUMBER(F293),ISNUMBER(G293)),CEILING(ROUND(F293*(1+G293),2),1000),""))</f>
        <v/>
      </c>
      <c r="J293" s="22">
        <f>IF(AND(ISNUMBER(I293),ISNUMBER(F293)),I293-F293,"")</f>
        <v/>
      </c>
      <c r="K293" s="23">
        <f>IF(AND(ISNUMBER(I293),ISNUMBER(F293)),IF(I293=0,"",(I293-F293)/I293),"")</f>
        <v/>
      </c>
      <c r="L293" s="22" t="n"/>
      <c r="M293" s="24">
        <f>IF(AND(ISNUMBER(I293),ISNUMBER(L293)),I293-L293,"")</f>
        <v/>
      </c>
      <c r="N293" s="25">
        <f>IF(AND(C293="",E293=""),"",IF(AND(H293&lt;&gt;"",NOT(ISNUMBER(H293))),"Cek Harga Manual",IF(AND(F293="-",NOT(ISNUMBER(H293))),"Isi Harga Manual",IF(F293="-","HPP akan dihapus",IF(AND(F293&lt;&gt;"",NOT(ISNUMBER(F293))),"Cek HPP",IF(AND(ISNUMBER(G293),OR(G293&lt;0,G293&gt;20)),"Cek Markup",IF(NOT(ISNUMBER(I293)),"Harga belum ada",IF(F293="","HPP kosong",IF(F293=0,"HPP 0, cek",IF(I293&lt;=F293,"RUGI / impas",IF(NOT(ISNUMBER(L293)),"Baru",IF(M293=0,"OK",IF(ABS(M293)&gt;=0.3*L293,"Berubah besar","Harga berubah")))))))))))))</f>
        <v/>
      </c>
      <c r="O293" s="18" t="n"/>
      <c r="P293" s="18" t="n"/>
      <c r="Q293" s="26" t="n"/>
    </row>
    <row r="294">
      <c r="A294" s="17" t="n"/>
      <c r="B294" s="18" t="n"/>
      <c r="C294" s="19" t="n"/>
      <c r="D294" s="19" t="n"/>
      <c r="E294" s="19" t="n"/>
      <c r="F294" s="20" t="n"/>
      <c r="G294" s="21" t="n"/>
      <c r="H294" s="20" t="n"/>
      <c r="I294" s="22">
        <f>IF(ISNUMBER(H294),H294,IF(AND(ISNUMBER(F294),ISNUMBER(G294)),CEILING(ROUND(F294*(1+G294),2),1000),""))</f>
        <v/>
      </c>
      <c r="J294" s="22">
        <f>IF(AND(ISNUMBER(I294),ISNUMBER(F294)),I294-F294,"")</f>
        <v/>
      </c>
      <c r="K294" s="23">
        <f>IF(AND(ISNUMBER(I294),ISNUMBER(F294)),IF(I294=0,"",(I294-F294)/I294),"")</f>
        <v/>
      </c>
      <c r="L294" s="22" t="n"/>
      <c r="M294" s="24">
        <f>IF(AND(ISNUMBER(I294),ISNUMBER(L294)),I294-L294,"")</f>
        <v/>
      </c>
      <c r="N294" s="25">
        <f>IF(AND(C294="",E294=""),"",IF(AND(H294&lt;&gt;"",NOT(ISNUMBER(H294))),"Cek Harga Manual",IF(AND(F294="-",NOT(ISNUMBER(H294))),"Isi Harga Manual",IF(F294="-","HPP akan dihapus",IF(AND(F294&lt;&gt;"",NOT(ISNUMBER(F294))),"Cek HPP",IF(AND(ISNUMBER(G294),OR(G294&lt;0,G294&gt;20)),"Cek Markup",IF(NOT(ISNUMBER(I294)),"Harga belum ada",IF(F294="","HPP kosong",IF(F294=0,"HPP 0, cek",IF(I294&lt;=F294,"RUGI / impas",IF(NOT(ISNUMBER(L294)),"Baru",IF(M294=0,"OK",IF(ABS(M294)&gt;=0.3*L294,"Berubah besar","Harga berubah")))))))))))))</f>
        <v/>
      </c>
      <c r="O294" s="18" t="n"/>
      <c r="P294" s="18" t="n"/>
      <c r="Q294" s="26" t="n"/>
    </row>
    <row r="295">
      <c r="A295" s="17" t="n"/>
      <c r="B295" s="18" t="n"/>
      <c r="C295" s="19" t="n"/>
      <c r="D295" s="19" t="n"/>
      <c r="E295" s="19" t="n"/>
      <c r="F295" s="20" t="n"/>
      <c r="G295" s="21" t="n"/>
      <c r="H295" s="20" t="n"/>
      <c r="I295" s="22">
        <f>IF(ISNUMBER(H295),H295,IF(AND(ISNUMBER(F295),ISNUMBER(G295)),CEILING(ROUND(F295*(1+G295),2),1000),""))</f>
        <v/>
      </c>
      <c r="J295" s="22">
        <f>IF(AND(ISNUMBER(I295),ISNUMBER(F295)),I295-F295,"")</f>
        <v/>
      </c>
      <c r="K295" s="23">
        <f>IF(AND(ISNUMBER(I295),ISNUMBER(F295)),IF(I295=0,"",(I295-F295)/I295),"")</f>
        <v/>
      </c>
      <c r="L295" s="22" t="n"/>
      <c r="M295" s="24">
        <f>IF(AND(ISNUMBER(I295),ISNUMBER(L295)),I295-L295,"")</f>
        <v/>
      </c>
      <c r="N295" s="25">
        <f>IF(AND(C295="",E295=""),"",IF(AND(H295&lt;&gt;"",NOT(ISNUMBER(H295))),"Cek Harga Manual",IF(AND(F295="-",NOT(ISNUMBER(H295))),"Isi Harga Manual",IF(F295="-","HPP akan dihapus",IF(AND(F295&lt;&gt;"",NOT(ISNUMBER(F295))),"Cek HPP",IF(AND(ISNUMBER(G295),OR(G295&lt;0,G295&gt;20)),"Cek Markup",IF(NOT(ISNUMBER(I295)),"Harga belum ada",IF(F295="","HPP kosong",IF(F295=0,"HPP 0, cek",IF(I295&lt;=F295,"RUGI / impas",IF(NOT(ISNUMBER(L295)),"Baru",IF(M295=0,"OK",IF(ABS(M295)&gt;=0.3*L295,"Berubah besar","Harga berubah")))))))))))))</f>
        <v/>
      </c>
      <c r="O295" s="18" t="n"/>
      <c r="P295" s="18" t="n"/>
      <c r="Q295" s="26" t="n"/>
    </row>
    <row r="296">
      <c r="A296" s="17" t="n"/>
      <c r="B296" s="18" t="n"/>
      <c r="C296" s="19" t="n"/>
      <c r="D296" s="19" t="n"/>
      <c r="E296" s="19" t="n"/>
      <c r="F296" s="20" t="n"/>
      <c r="G296" s="21" t="n"/>
      <c r="H296" s="20" t="n"/>
      <c r="I296" s="22">
        <f>IF(ISNUMBER(H296),H296,IF(AND(ISNUMBER(F296),ISNUMBER(G296)),CEILING(ROUND(F296*(1+G296),2),1000),""))</f>
        <v/>
      </c>
      <c r="J296" s="22">
        <f>IF(AND(ISNUMBER(I296),ISNUMBER(F296)),I296-F296,"")</f>
        <v/>
      </c>
      <c r="K296" s="23">
        <f>IF(AND(ISNUMBER(I296),ISNUMBER(F296)),IF(I296=0,"",(I296-F296)/I296),"")</f>
        <v/>
      </c>
      <c r="L296" s="22" t="n"/>
      <c r="M296" s="24">
        <f>IF(AND(ISNUMBER(I296),ISNUMBER(L296)),I296-L296,"")</f>
        <v/>
      </c>
      <c r="N296" s="25">
        <f>IF(AND(C296="",E296=""),"",IF(AND(H296&lt;&gt;"",NOT(ISNUMBER(H296))),"Cek Harga Manual",IF(AND(F296="-",NOT(ISNUMBER(H296))),"Isi Harga Manual",IF(F296="-","HPP akan dihapus",IF(AND(F296&lt;&gt;"",NOT(ISNUMBER(F296))),"Cek HPP",IF(AND(ISNUMBER(G296),OR(G296&lt;0,G296&gt;20)),"Cek Markup",IF(NOT(ISNUMBER(I296)),"Harga belum ada",IF(F296="","HPP kosong",IF(F296=0,"HPP 0, cek",IF(I296&lt;=F296,"RUGI / impas",IF(NOT(ISNUMBER(L296)),"Baru",IF(M296=0,"OK",IF(ABS(M296)&gt;=0.3*L296,"Berubah besar","Harga berubah")))))))))))))</f>
        <v/>
      </c>
      <c r="O296" s="18" t="n"/>
      <c r="P296" s="18" t="n"/>
      <c r="Q296" s="26" t="n"/>
    </row>
    <row r="297">
      <c r="A297" s="17" t="n"/>
      <c r="B297" s="18" t="n"/>
      <c r="C297" s="19" t="n"/>
      <c r="D297" s="19" t="n"/>
      <c r="E297" s="19" t="n"/>
      <c r="F297" s="20" t="n"/>
      <c r="G297" s="21" t="n"/>
      <c r="H297" s="20" t="n"/>
      <c r="I297" s="22">
        <f>IF(ISNUMBER(H297),H297,IF(AND(ISNUMBER(F297),ISNUMBER(G297)),CEILING(ROUND(F297*(1+G297),2),1000),""))</f>
        <v/>
      </c>
      <c r="J297" s="22">
        <f>IF(AND(ISNUMBER(I297),ISNUMBER(F297)),I297-F297,"")</f>
        <v/>
      </c>
      <c r="K297" s="23">
        <f>IF(AND(ISNUMBER(I297),ISNUMBER(F297)),IF(I297=0,"",(I297-F297)/I297),"")</f>
        <v/>
      </c>
      <c r="L297" s="22" t="n"/>
      <c r="M297" s="24">
        <f>IF(AND(ISNUMBER(I297),ISNUMBER(L297)),I297-L297,"")</f>
        <v/>
      </c>
      <c r="N297" s="25">
        <f>IF(AND(C297="",E297=""),"",IF(AND(H297&lt;&gt;"",NOT(ISNUMBER(H297))),"Cek Harga Manual",IF(AND(F297="-",NOT(ISNUMBER(H297))),"Isi Harga Manual",IF(F297="-","HPP akan dihapus",IF(AND(F297&lt;&gt;"",NOT(ISNUMBER(F297))),"Cek HPP",IF(AND(ISNUMBER(G297),OR(G297&lt;0,G297&gt;20)),"Cek Markup",IF(NOT(ISNUMBER(I297)),"Harga belum ada",IF(F297="","HPP kosong",IF(F297=0,"HPP 0, cek",IF(I297&lt;=F297,"RUGI / impas",IF(NOT(ISNUMBER(L297)),"Baru",IF(M297=0,"OK",IF(ABS(M297)&gt;=0.3*L297,"Berubah besar","Harga berubah")))))))))))))</f>
        <v/>
      </c>
      <c r="O297" s="18" t="n"/>
      <c r="P297" s="18" t="n"/>
      <c r="Q297" s="26" t="n"/>
    </row>
    <row r="298">
      <c r="A298" s="17" t="n"/>
      <c r="B298" s="18" t="n"/>
      <c r="C298" s="19" t="n"/>
      <c r="D298" s="19" t="n"/>
      <c r="E298" s="19" t="n"/>
      <c r="F298" s="20" t="n"/>
      <c r="G298" s="21" t="n"/>
      <c r="H298" s="20" t="n"/>
      <c r="I298" s="22">
        <f>IF(ISNUMBER(H298),H298,IF(AND(ISNUMBER(F298),ISNUMBER(G298)),CEILING(ROUND(F298*(1+G298),2),1000),""))</f>
        <v/>
      </c>
      <c r="J298" s="22">
        <f>IF(AND(ISNUMBER(I298),ISNUMBER(F298)),I298-F298,"")</f>
        <v/>
      </c>
      <c r="K298" s="23">
        <f>IF(AND(ISNUMBER(I298),ISNUMBER(F298)),IF(I298=0,"",(I298-F298)/I298),"")</f>
        <v/>
      </c>
      <c r="L298" s="22" t="n"/>
      <c r="M298" s="24">
        <f>IF(AND(ISNUMBER(I298),ISNUMBER(L298)),I298-L298,"")</f>
        <v/>
      </c>
      <c r="N298" s="25">
        <f>IF(AND(C298="",E298=""),"",IF(AND(H298&lt;&gt;"",NOT(ISNUMBER(H298))),"Cek Harga Manual",IF(AND(F298="-",NOT(ISNUMBER(H298))),"Isi Harga Manual",IF(F298="-","HPP akan dihapus",IF(AND(F298&lt;&gt;"",NOT(ISNUMBER(F298))),"Cek HPP",IF(AND(ISNUMBER(G298),OR(G298&lt;0,G298&gt;20)),"Cek Markup",IF(NOT(ISNUMBER(I298)),"Harga belum ada",IF(F298="","HPP kosong",IF(F298=0,"HPP 0, cek",IF(I298&lt;=F298,"RUGI / impas",IF(NOT(ISNUMBER(L298)),"Baru",IF(M298=0,"OK",IF(ABS(M298)&gt;=0.3*L298,"Berubah besar","Harga berubah")))))))))))))</f>
        <v/>
      </c>
      <c r="O298" s="18" t="n"/>
      <c r="P298" s="18" t="n"/>
      <c r="Q298" s="26" t="n"/>
    </row>
    <row r="299">
      <c r="A299" s="17" t="n"/>
      <c r="B299" s="18" t="n"/>
      <c r="C299" s="19" t="n"/>
      <c r="D299" s="19" t="n"/>
      <c r="E299" s="19" t="n"/>
      <c r="F299" s="20" t="n"/>
      <c r="G299" s="21" t="n"/>
      <c r="H299" s="20" t="n"/>
      <c r="I299" s="22">
        <f>IF(ISNUMBER(H299),H299,IF(AND(ISNUMBER(F299),ISNUMBER(G299)),CEILING(ROUND(F299*(1+G299),2),1000),""))</f>
        <v/>
      </c>
      <c r="J299" s="22">
        <f>IF(AND(ISNUMBER(I299),ISNUMBER(F299)),I299-F299,"")</f>
        <v/>
      </c>
      <c r="K299" s="23">
        <f>IF(AND(ISNUMBER(I299),ISNUMBER(F299)),IF(I299=0,"",(I299-F299)/I299),"")</f>
        <v/>
      </c>
      <c r="L299" s="22" t="n"/>
      <c r="M299" s="24">
        <f>IF(AND(ISNUMBER(I299),ISNUMBER(L299)),I299-L299,"")</f>
        <v/>
      </c>
      <c r="N299" s="25">
        <f>IF(AND(C299="",E299=""),"",IF(AND(H299&lt;&gt;"",NOT(ISNUMBER(H299))),"Cek Harga Manual",IF(AND(F299="-",NOT(ISNUMBER(H299))),"Isi Harga Manual",IF(F299="-","HPP akan dihapus",IF(AND(F299&lt;&gt;"",NOT(ISNUMBER(F299))),"Cek HPP",IF(AND(ISNUMBER(G299),OR(G299&lt;0,G299&gt;20)),"Cek Markup",IF(NOT(ISNUMBER(I299)),"Harga belum ada",IF(F299="","HPP kosong",IF(F299=0,"HPP 0, cek",IF(I299&lt;=F299,"RUGI / impas",IF(NOT(ISNUMBER(L299)),"Baru",IF(M299=0,"OK",IF(ABS(M299)&gt;=0.3*L299,"Berubah besar","Harga berubah")))))))))))))</f>
        <v/>
      </c>
      <c r="O299" s="18" t="n"/>
      <c r="P299" s="18" t="n"/>
      <c r="Q299" s="26" t="n"/>
    </row>
    <row r="300">
      <c r="A300" s="17" t="n"/>
      <c r="B300" s="18" t="n"/>
      <c r="C300" s="19" t="n"/>
      <c r="D300" s="19" t="n"/>
      <c r="E300" s="19" t="n"/>
      <c r="F300" s="20" t="n"/>
      <c r="G300" s="21" t="n"/>
      <c r="H300" s="20" t="n"/>
      <c r="I300" s="22">
        <f>IF(ISNUMBER(H300),H300,IF(AND(ISNUMBER(F300),ISNUMBER(G300)),CEILING(ROUND(F300*(1+G300),2),1000),""))</f>
        <v/>
      </c>
      <c r="J300" s="22">
        <f>IF(AND(ISNUMBER(I300),ISNUMBER(F300)),I300-F300,"")</f>
        <v/>
      </c>
      <c r="K300" s="23">
        <f>IF(AND(ISNUMBER(I300),ISNUMBER(F300)),IF(I300=0,"",(I300-F300)/I300),"")</f>
        <v/>
      </c>
      <c r="L300" s="22" t="n"/>
      <c r="M300" s="24">
        <f>IF(AND(ISNUMBER(I300),ISNUMBER(L300)),I300-L300,"")</f>
        <v/>
      </c>
      <c r="N300" s="25">
        <f>IF(AND(C300="",E300=""),"",IF(AND(H300&lt;&gt;"",NOT(ISNUMBER(H300))),"Cek Harga Manual",IF(AND(F300="-",NOT(ISNUMBER(H300))),"Isi Harga Manual",IF(F300="-","HPP akan dihapus",IF(AND(F300&lt;&gt;"",NOT(ISNUMBER(F300))),"Cek HPP",IF(AND(ISNUMBER(G300),OR(G300&lt;0,G300&gt;20)),"Cek Markup",IF(NOT(ISNUMBER(I300)),"Harga belum ada",IF(F300="","HPP kosong",IF(F300=0,"HPP 0, cek",IF(I300&lt;=F300,"RUGI / impas",IF(NOT(ISNUMBER(L300)),"Baru",IF(M300=0,"OK",IF(ABS(M300)&gt;=0.3*L300,"Berubah besar","Harga berubah")))))))))))))</f>
        <v/>
      </c>
      <c r="O300" s="18" t="n"/>
      <c r="P300" s="18" t="n"/>
      <c r="Q300" s="26" t="n"/>
    </row>
    <row r="301">
      <c r="A301" s="17" t="n"/>
      <c r="B301" s="18" t="n"/>
      <c r="C301" s="19" t="n"/>
      <c r="D301" s="19" t="n"/>
      <c r="E301" s="19" t="n"/>
      <c r="F301" s="20" t="n"/>
      <c r="G301" s="21" t="n"/>
      <c r="H301" s="20" t="n"/>
      <c r="I301" s="22">
        <f>IF(ISNUMBER(H301),H301,IF(AND(ISNUMBER(F301),ISNUMBER(G301)),CEILING(ROUND(F301*(1+G301),2),1000),""))</f>
        <v/>
      </c>
      <c r="J301" s="22">
        <f>IF(AND(ISNUMBER(I301),ISNUMBER(F301)),I301-F301,"")</f>
        <v/>
      </c>
      <c r="K301" s="23">
        <f>IF(AND(ISNUMBER(I301),ISNUMBER(F301)),IF(I301=0,"",(I301-F301)/I301),"")</f>
        <v/>
      </c>
      <c r="L301" s="22" t="n"/>
      <c r="M301" s="24">
        <f>IF(AND(ISNUMBER(I301),ISNUMBER(L301)),I301-L301,"")</f>
        <v/>
      </c>
      <c r="N301" s="25">
        <f>IF(AND(C301="",E301=""),"",IF(AND(H301&lt;&gt;"",NOT(ISNUMBER(H301))),"Cek Harga Manual",IF(AND(F301="-",NOT(ISNUMBER(H301))),"Isi Harga Manual",IF(F301="-","HPP akan dihapus",IF(AND(F301&lt;&gt;"",NOT(ISNUMBER(F301))),"Cek HPP",IF(AND(ISNUMBER(G301),OR(G301&lt;0,G301&gt;20)),"Cek Markup",IF(NOT(ISNUMBER(I301)),"Harga belum ada",IF(F301="","HPP kosong",IF(F301=0,"HPP 0, cek",IF(I301&lt;=F301,"RUGI / impas",IF(NOT(ISNUMBER(L301)),"Baru",IF(M301=0,"OK",IF(ABS(M301)&gt;=0.3*L301,"Berubah besar","Harga berubah")))))))))))))</f>
        <v/>
      </c>
      <c r="O301" s="18" t="n"/>
      <c r="P301" s="18" t="n"/>
      <c r="Q301" s="26" t="n"/>
    </row>
    <row r="302">
      <c r="A302" s="17" t="n"/>
      <c r="B302" s="18" t="n"/>
      <c r="C302" s="19" t="n"/>
      <c r="D302" s="19" t="n"/>
      <c r="E302" s="19" t="n"/>
      <c r="F302" s="20" t="n"/>
      <c r="G302" s="21" t="n"/>
      <c r="H302" s="20" t="n"/>
      <c r="I302" s="22">
        <f>IF(ISNUMBER(H302),H302,IF(AND(ISNUMBER(F302),ISNUMBER(G302)),CEILING(ROUND(F302*(1+G302),2),1000),""))</f>
        <v/>
      </c>
      <c r="J302" s="22">
        <f>IF(AND(ISNUMBER(I302),ISNUMBER(F302)),I302-F302,"")</f>
        <v/>
      </c>
      <c r="K302" s="23">
        <f>IF(AND(ISNUMBER(I302),ISNUMBER(F302)),IF(I302=0,"",(I302-F302)/I302),"")</f>
        <v/>
      </c>
      <c r="L302" s="22" t="n"/>
      <c r="M302" s="24">
        <f>IF(AND(ISNUMBER(I302),ISNUMBER(L302)),I302-L302,"")</f>
        <v/>
      </c>
      <c r="N302" s="25">
        <f>IF(AND(C302="",E302=""),"",IF(AND(H302&lt;&gt;"",NOT(ISNUMBER(H302))),"Cek Harga Manual",IF(AND(F302="-",NOT(ISNUMBER(H302))),"Isi Harga Manual",IF(F302="-","HPP akan dihapus",IF(AND(F302&lt;&gt;"",NOT(ISNUMBER(F302))),"Cek HPP",IF(AND(ISNUMBER(G302),OR(G302&lt;0,G302&gt;20)),"Cek Markup",IF(NOT(ISNUMBER(I302)),"Harga belum ada",IF(F302="","HPP kosong",IF(F302=0,"HPP 0, cek",IF(I302&lt;=F302,"RUGI / impas",IF(NOT(ISNUMBER(L302)),"Baru",IF(M302=0,"OK",IF(ABS(M302)&gt;=0.3*L302,"Berubah besar","Harga berubah")))))))))))))</f>
        <v/>
      </c>
      <c r="O302" s="18" t="n"/>
      <c r="P302" s="18" t="n"/>
      <c r="Q302" s="26" t="n"/>
    </row>
    <row r="303">
      <c r="A303" s="17" t="n"/>
      <c r="B303" s="18" t="n"/>
      <c r="C303" s="19" t="n"/>
      <c r="D303" s="19" t="n"/>
      <c r="E303" s="19" t="n"/>
      <c r="F303" s="20" t="n"/>
      <c r="G303" s="21" t="n"/>
      <c r="H303" s="20" t="n"/>
      <c r="I303" s="22">
        <f>IF(ISNUMBER(H303),H303,IF(AND(ISNUMBER(F303),ISNUMBER(G303)),CEILING(ROUND(F303*(1+G303),2),1000),""))</f>
        <v/>
      </c>
      <c r="J303" s="22">
        <f>IF(AND(ISNUMBER(I303),ISNUMBER(F303)),I303-F303,"")</f>
        <v/>
      </c>
      <c r="K303" s="23">
        <f>IF(AND(ISNUMBER(I303),ISNUMBER(F303)),IF(I303=0,"",(I303-F303)/I303),"")</f>
        <v/>
      </c>
      <c r="L303" s="22" t="n"/>
      <c r="M303" s="24">
        <f>IF(AND(ISNUMBER(I303),ISNUMBER(L303)),I303-L303,"")</f>
        <v/>
      </c>
      <c r="N303" s="25">
        <f>IF(AND(C303="",E303=""),"",IF(AND(H303&lt;&gt;"",NOT(ISNUMBER(H303))),"Cek Harga Manual",IF(AND(F303="-",NOT(ISNUMBER(H303))),"Isi Harga Manual",IF(F303="-","HPP akan dihapus",IF(AND(F303&lt;&gt;"",NOT(ISNUMBER(F303))),"Cek HPP",IF(AND(ISNUMBER(G303),OR(G303&lt;0,G303&gt;20)),"Cek Markup",IF(NOT(ISNUMBER(I303)),"Harga belum ada",IF(F303="","HPP kosong",IF(F303=0,"HPP 0, cek",IF(I303&lt;=F303,"RUGI / impas",IF(NOT(ISNUMBER(L303)),"Baru",IF(M303=0,"OK",IF(ABS(M303)&gt;=0.3*L303,"Berubah besar","Harga berubah")))))))))))))</f>
        <v/>
      </c>
      <c r="O303" s="18" t="n"/>
      <c r="P303" s="18" t="n"/>
      <c r="Q303" s="26" t="n"/>
    </row>
    <row r="304">
      <c r="A304" s="17" t="n"/>
      <c r="B304" s="18" t="n"/>
      <c r="C304" s="19" t="n"/>
      <c r="D304" s="19" t="n"/>
      <c r="E304" s="19" t="n"/>
      <c r="F304" s="20" t="n"/>
      <c r="G304" s="21" t="n"/>
      <c r="H304" s="20" t="n"/>
      <c r="I304" s="22">
        <f>IF(ISNUMBER(H304),H304,IF(AND(ISNUMBER(F304),ISNUMBER(G304)),CEILING(ROUND(F304*(1+G304),2),1000),""))</f>
        <v/>
      </c>
      <c r="J304" s="22">
        <f>IF(AND(ISNUMBER(I304),ISNUMBER(F304)),I304-F304,"")</f>
        <v/>
      </c>
      <c r="K304" s="23">
        <f>IF(AND(ISNUMBER(I304),ISNUMBER(F304)),IF(I304=0,"",(I304-F304)/I304),"")</f>
        <v/>
      </c>
      <c r="L304" s="22" t="n"/>
      <c r="M304" s="24">
        <f>IF(AND(ISNUMBER(I304),ISNUMBER(L304)),I304-L304,"")</f>
        <v/>
      </c>
      <c r="N304" s="25">
        <f>IF(AND(C304="",E304=""),"",IF(AND(H304&lt;&gt;"",NOT(ISNUMBER(H304))),"Cek Harga Manual",IF(AND(F304="-",NOT(ISNUMBER(H304))),"Isi Harga Manual",IF(F304="-","HPP akan dihapus",IF(AND(F304&lt;&gt;"",NOT(ISNUMBER(F304))),"Cek HPP",IF(AND(ISNUMBER(G304),OR(G304&lt;0,G304&gt;20)),"Cek Markup",IF(NOT(ISNUMBER(I304)),"Harga belum ada",IF(F304="","HPP kosong",IF(F304=0,"HPP 0, cek",IF(I304&lt;=F304,"RUGI / impas",IF(NOT(ISNUMBER(L304)),"Baru",IF(M304=0,"OK",IF(ABS(M304)&gt;=0.3*L304,"Berubah besar","Harga berubah")))))))))))))</f>
        <v/>
      </c>
      <c r="O304" s="18" t="n"/>
      <c r="P304" s="18" t="n"/>
      <c r="Q304" s="26" t="n"/>
    </row>
    <row r="305">
      <c r="A305" s="17" t="n"/>
      <c r="B305" s="18" t="n"/>
      <c r="C305" s="19" t="n"/>
      <c r="D305" s="19" t="n"/>
      <c r="E305" s="19" t="n"/>
      <c r="F305" s="20" t="n"/>
      <c r="G305" s="21" t="n"/>
      <c r="H305" s="20" t="n"/>
      <c r="I305" s="22">
        <f>IF(ISNUMBER(H305),H305,IF(AND(ISNUMBER(F305),ISNUMBER(G305)),CEILING(ROUND(F305*(1+G305),2),1000),""))</f>
        <v/>
      </c>
      <c r="J305" s="22">
        <f>IF(AND(ISNUMBER(I305),ISNUMBER(F305)),I305-F305,"")</f>
        <v/>
      </c>
      <c r="K305" s="23">
        <f>IF(AND(ISNUMBER(I305),ISNUMBER(F305)),IF(I305=0,"",(I305-F305)/I305),"")</f>
        <v/>
      </c>
      <c r="L305" s="22" t="n"/>
      <c r="M305" s="24">
        <f>IF(AND(ISNUMBER(I305),ISNUMBER(L305)),I305-L305,"")</f>
        <v/>
      </c>
      <c r="N305" s="25">
        <f>IF(AND(C305="",E305=""),"",IF(AND(H305&lt;&gt;"",NOT(ISNUMBER(H305))),"Cek Harga Manual",IF(AND(F305="-",NOT(ISNUMBER(H305))),"Isi Harga Manual",IF(F305="-","HPP akan dihapus",IF(AND(F305&lt;&gt;"",NOT(ISNUMBER(F305))),"Cek HPP",IF(AND(ISNUMBER(G305),OR(G305&lt;0,G305&gt;20)),"Cek Markup",IF(NOT(ISNUMBER(I305)),"Harga belum ada",IF(F305="","HPP kosong",IF(F305=0,"HPP 0, cek",IF(I305&lt;=F305,"RUGI / impas",IF(NOT(ISNUMBER(L305)),"Baru",IF(M305=0,"OK",IF(ABS(M305)&gt;=0.3*L305,"Berubah besar","Harga berubah")))))))))))))</f>
        <v/>
      </c>
      <c r="O305" s="18" t="n"/>
      <c r="P305" s="18" t="n"/>
      <c r="Q305" s="26" t="n"/>
    </row>
    <row r="306">
      <c r="A306" s="17" t="n"/>
      <c r="B306" s="18" t="n"/>
      <c r="C306" s="19" t="n"/>
      <c r="D306" s="19" t="n"/>
      <c r="E306" s="19" t="n"/>
      <c r="F306" s="20" t="n"/>
      <c r="G306" s="21" t="n"/>
      <c r="H306" s="20" t="n"/>
      <c r="I306" s="22">
        <f>IF(ISNUMBER(H306),H306,IF(AND(ISNUMBER(F306),ISNUMBER(G306)),CEILING(ROUND(F306*(1+G306),2),1000),""))</f>
        <v/>
      </c>
      <c r="J306" s="22">
        <f>IF(AND(ISNUMBER(I306),ISNUMBER(F306)),I306-F306,"")</f>
        <v/>
      </c>
      <c r="K306" s="23">
        <f>IF(AND(ISNUMBER(I306),ISNUMBER(F306)),IF(I306=0,"",(I306-F306)/I306),"")</f>
        <v/>
      </c>
      <c r="L306" s="22" t="n"/>
      <c r="M306" s="24">
        <f>IF(AND(ISNUMBER(I306),ISNUMBER(L306)),I306-L306,"")</f>
        <v/>
      </c>
      <c r="N306" s="25">
        <f>IF(AND(C306="",E306=""),"",IF(AND(H306&lt;&gt;"",NOT(ISNUMBER(H306))),"Cek Harga Manual",IF(AND(F306="-",NOT(ISNUMBER(H306))),"Isi Harga Manual",IF(F306="-","HPP akan dihapus",IF(AND(F306&lt;&gt;"",NOT(ISNUMBER(F306))),"Cek HPP",IF(AND(ISNUMBER(G306),OR(G306&lt;0,G306&gt;20)),"Cek Markup",IF(NOT(ISNUMBER(I306)),"Harga belum ada",IF(F306="","HPP kosong",IF(F306=0,"HPP 0, cek",IF(I306&lt;=F306,"RUGI / impas",IF(NOT(ISNUMBER(L306)),"Baru",IF(M306=0,"OK",IF(ABS(M306)&gt;=0.3*L306,"Berubah besar","Harga berubah")))))))))))))</f>
        <v/>
      </c>
      <c r="O306" s="18" t="n"/>
      <c r="P306" s="18" t="n"/>
      <c r="Q306" s="26" t="n"/>
    </row>
    <row r="307">
      <c r="A307" s="17" t="n"/>
      <c r="B307" s="18" t="n"/>
      <c r="C307" s="19" t="n"/>
      <c r="D307" s="19" t="n"/>
      <c r="E307" s="19" t="n"/>
      <c r="F307" s="20" t="n"/>
      <c r="G307" s="21" t="n"/>
      <c r="H307" s="20" t="n"/>
      <c r="I307" s="22">
        <f>IF(ISNUMBER(H307),H307,IF(AND(ISNUMBER(F307),ISNUMBER(G307)),CEILING(ROUND(F307*(1+G307),2),1000),""))</f>
        <v/>
      </c>
      <c r="J307" s="22">
        <f>IF(AND(ISNUMBER(I307),ISNUMBER(F307)),I307-F307,"")</f>
        <v/>
      </c>
      <c r="K307" s="23">
        <f>IF(AND(ISNUMBER(I307),ISNUMBER(F307)),IF(I307=0,"",(I307-F307)/I307),"")</f>
        <v/>
      </c>
      <c r="L307" s="22" t="n"/>
      <c r="M307" s="24">
        <f>IF(AND(ISNUMBER(I307),ISNUMBER(L307)),I307-L307,"")</f>
        <v/>
      </c>
      <c r="N307" s="25">
        <f>IF(AND(C307="",E307=""),"",IF(AND(H307&lt;&gt;"",NOT(ISNUMBER(H307))),"Cek Harga Manual",IF(AND(F307="-",NOT(ISNUMBER(H307))),"Isi Harga Manual",IF(F307="-","HPP akan dihapus",IF(AND(F307&lt;&gt;"",NOT(ISNUMBER(F307))),"Cek HPP",IF(AND(ISNUMBER(G307),OR(G307&lt;0,G307&gt;20)),"Cek Markup",IF(NOT(ISNUMBER(I307)),"Harga belum ada",IF(F307="","HPP kosong",IF(F307=0,"HPP 0, cek",IF(I307&lt;=F307,"RUGI / impas",IF(NOT(ISNUMBER(L307)),"Baru",IF(M307=0,"OK",IF(ABS(M307)&gt;=0.3*L307,"Berubah besar","Harga berubah")))))))))))))</f>
        <v/>
      </c>
      <c r="O307" s="18" t="n"/>
      <c r="P307" s="18" t="n"/>
      <c r="Q307" s="26" t="n"/>
    </row>
    <row r="308">
      <c r="A308" s="17" t="n"/>
      <c r="B308" s="18" t="n"/>
      <c r="C308" s="19" t="n"/>
      <c r="D308" s="19" t="n"/>
      <c r="E308" s="19" t="n"/>
      <c r="F308" s="20" t="n"/>
      <c r="G308" s="21" t="n"/>
      <c r="H308" s="20" t="n"/>
      <c r="I308" s="22">
        <f>IF(ISNUMBER(H308),H308,IF(AND(ISNUMBER(F308),ISNUMBER(G308)),CEILING(ROUND(F308*(1+G308),2),1000),""))</f>
        <v/>
      </c>
      <c r="J308" s="22">
        <f>IF(AND(ISNUMBER(I308),ISNUMBER(F308)),I308-F308,"")</f>
        <v/>
      </c>
      <c r="K308" s="23">
        <f>IF(AND(ISNUMBER(I308),ISNUMBER(F308)),IF(I308=0,"",(I308-F308)/I308),"")</f>
        <v/>
      </c>
      <c r="L308" s="22" t="n"/>
      <c r="M308" s="24">
        <f>IF(AND(ISNUMBER(I308),ISNUMBER(L308)),I308-L308,"")</f>
        <v/>
      </c>
      <c r="N308" s="25">
        <f>IF(AND(C308="",E308=""),"",IF(AND(H308&lt;&gt;"",NOT(ISNUMBER(H308))),"Cek Harga Manual",IF(AND(F308="-",NOT(ISNUMBER(H308))),"Isi Harga Manual",IF(F308="-","HPP akan dihapus",IF(AND(F308&lt;&gt;"",NOT(ISNUMBER(F308))),"Cek HPP",IF(AND(ISNUMBER(G308),OR(G308&lt;0,G308&gt;20)),"Cek Markup",IF(NOT(ISNUMBER(I308)),"Harga belum ada",IF(F308="","HPP kosong",IF(F308=0,"HPP 0, cek",IF(I308&lt;=F308,"RUGI / impas",IF(NOT(ISNUMBER(L308)),"Baru",IF(M308=0,"OK",IF(ABS(M308)&gt;=0.3*L308,"Berubah besar","Harga berubah")))))))))))))</f>
        <v/>
      </c>
      <c r="O308" s="18" t="n"/>
      <c r="P308" s="18" t="n"/>
      <c r="Q308" s="26" t="n"/>
    </row>
    <row r="309">
      <c r="A309" s="17" t="n"/>
      <c r="B309" s="18" t="n"/>
      <c r="C309" s="19" t="n"/>
      <c r="D309" s="19" t="n"/>
      <c r="E309" s="19" t="n"/>
      <c r="F309" s="20" t="n"/>
      <c r="G309" s="21" t="n"/>
      <c r="H309" s="20" t="n"/>
      <c r="I309" s="22">
        <f>IF(ISNUMBER(H309),H309,IF(AND(ISNUMBER(F309),ISNUMBER(G309)),CEILING(ROUND(F309*(1+G309),2),1000),""))</f>
        <v/>
      </c>
      <c r="J309" s="22">
        <f>IF(AND(ISNUMBER(I309),ISNUMBER(F309)),I309-F309,"")</f>
        <v/>
      </c>
      <c r="K309" s="23">
        <f>IF(AND(ISNUMBER(I309),ISNUMBER(F309)),IF(I309=0,"",(I309-F309)/I309),"")</f>
        <v/>
      </c>
      <c r="L309" s="22" t="n"/>
      <c r="M309" s="24">
        <f>IF(AND(ISNUMBER(I309),ISNUMBER(L309)),I309-L309,"")</f>
        <v/>
      </c>
      <c r="N309" s="25">
        <f>IF(AND(C309="",E309=""),"",IF(AND(H309&lt;&gt;"",NOT(ISNUMBER(H309))),"Cek Harga Manual",IF(AND(F309="-",NOT(ISNUMBER(H309))),"Isi Harga Manual",IF(F309="-","HPP akan dihapus",IF(AND(F309&lt;&gt;"",NOT(ISNUMBER(F309))),"Cek HPP",IF(AND(ISNUMBER(G309),OR(G309&lt;0,G309&gt;20)),"Cek Markup",IF(NOT(ISNUMBER(I309)),"Harga belum ada",IF(F309="","HPP kosong",IF(F309=0,"HPP 0, cek",IF(I309&lt;=F309,"RUGI / impas",IF(NOT(ISNUMBER(L309)),"Baru",IF(M309=0,"OK",IF(ABS(M309)&gt;=0.3*L309,"Berubah besar","Harga berubah")))))))))))))</f>
        <v/>
      </c>
      <c r="O309" s="18" t="n"/>
      <c r="P309" s="18" t="n"/>
      <c r="Q309" s="26" t="n"/>
    </row>
    <row r="310">
      <c r="A310" s="17" t="n"/>
      <c r="B310" s="18" t="n"/>
      <c r="C310" s="19" t="n"/>
      <c r="D310" s="19" t="n"/>
      <c r="E310" s="19" t="n"/>
      <c r="F310" s="20" t="n"/>
      <c r="G310" s="21" t="n"/>
      <c r="H310" s="20" t="n"/>
      <c r="I310" s="22">
        <f>IF(ISNUMBER(H310),H310,IF(AND(ISNUMBER(F310),ISNUMBER(G310)),CEILING(ROUND(F310*(1+G310),2),1000),""))</f>
        <v/>
      </c>
      <c r="J310" s="22">
        <f>IF(AND(ISNUMBER(I310),ISNUMBER(F310)),I310-F310,"")</f>
        <v/>
      </c>
      <c r="K310" s="23">
        <f>IF(AND(ISNUMBER(I310),ISNUMBER(F310)),IF(I310=0,"",(I310-F310)/I310),"")</f>
        <v/>
      </c>
      <c r="L310" s="22" t="n"/>
      <c r="M310" s="24">
        <f>IF(AND(ISNUMBER(I310),ISNUMBER(L310)),I310-L310,"")</f>
        <v/>
      </c>
      <c r="N310" s="25">
        <f>IF(AND(C310="",E310=""),"",IF(AND(H310&lt;&gt;"",NOT(ISNUMBER(H310))),"Cek Harga Manual",IF(AND(F310="-",NOT(ISNUMBER(H310))),"Isi Harga Manual",IF(F310="-","HPP akan dihapus",IF(AND(F310&lt;&gt;"",NOT(ISNUMBER(F310))),"Cek HPP",IF(AND(ISNUMBER(G310),OR(G310&lt;0,G310&gt;20)),"Cek Markup",IF(NOT(ISNUMBER(I310)),"Harga belum ada",IF(F310="","HPP kosong",IF(F310=0,"HPP 0, cek",IF(I310&lt;=F310,"RUGI / impas",IF(NOT(ISNUMBER(L310)),"Baru",IF(M310=0,"OK",IF(ABS(M310)&gt;=0.3*L310,"Berubah besar","Harga berubah")))))))))))))</f>
        <v/>
      </c>
      <c r="O310" s="18" t="n"/>
      <c r="P310" s="18" t="n"/>
      <c r="Q310" s="26" t="n"/>
    </row>
    <row r="311">
      <c r="A311" s="17" t="n"/>
      <c r="B311" s="18" t="n"/>
      <c r="C311" s="19" t="n"/>
      <c r="D311" s="19" t="n"/>
      <c r="E311" s="19" t="n"/>
      <c r="F311" s="20" t="n"/>
      <c r="G311" s="21" t="n"/>
      <c r="H311" s="20" t="n"/>
      <c r="I311" s="22">
        <f>IF(ISNUMBER(H311),H311,IF(AND(ISNUMBER(F311),ISNUMBER(G311)),CEILING(ROUND(F311*(1+G311),2),1000),""))</f>
        <v/>
      </c>
      <c r="J311" s="22">
        <f>IF(AND(ISNUMBER(I311),ISNUMBER(F311)),I311-F311,"")</f>
        <v/>
      </c>
      <c r="K311" s="23">
        <f>IF(AND(ISNUMBER(I311),ISNUMBER(F311)),IF(I311=0,"",(I311-F311)/I311),"")</f>
        <v/>
      </c>
      <c r="L311" s="22" t="n"/>
      <c r="M311" s="24">
        <f>IF(AND(ISNUMBER(I311),ISNUMBER(L311)),I311-L311,"")</f>
        <v/>
      </c>
      <c r="N311" s="25">
        <f>IF(AND(C311="",E311=""),"",IF(AND(H311&lt;&gt;"",NOT(ISNUMBER(H311))),"Cek Harga Manual",IF(AND(F311="-",NOT(ISNUMBER(H311))),"Isi Harga Manual",IF(F311="-","HPP akan dihapus",IF(AND(F311&lt;&gt;"",NOT(ISNUMBER(F311))),"Cek HPP",IF(AND(ISNUMBER(G311),OR(G311&lt;0,G311&gt;20)),"Cek Markup",IF(NOT(ISNUMBER(I311)),"Harga belum ada",IF(F311="","HPP kosong",IF(F311=0,"HPP 0, cek",IF(I311&lt;=F311,"RUGI / impas",IF(NOT(ISNUMBER(L311)),"Baru",IF(M311=0,"OK",IF(ABS(M311)&gt;=0.3*L311,"Berubah besar","Harga berubah")))))))))))))</f>
        <v/>
      </c>
      <c r="O311" s="18" t="n"/>
      <c r="P311" s="18" t="n"/>
      <c r="Q311" s="26" t="n"/>
    </row>
    <row r="312">
      <c r="A312" s="17" t="n"/>
      <c r="B312" s="18" t="n"/>
      <c r="C312" s="19" t="n"/>
      <c r="D312" s="19" t="n"/>
      <c r="E312" s="19" t="n"/>
      <c r="F312" s="20" t="n"/>
      <c r="G312" s="21" t="n"/>
      <c r="H312" s="20" t="n"/>
      <c r="I312" s="22">
        <f>IF(ISNUMBER(H312),H312,IF(AND(ISNUMBER(F312),ISNUMBER(G312)),CEILING(ROUND(F312*(1+G312),2),1000),""))</f>
        <v/>
      </c>
      <c r="J312" s="22">
        <f>IF(AND(ISNUMBER(I312),ISNUMBER(F312)),I312-F312,"")</f>
        <v/>
      </c>
      <c r="K312" s="23">
        <f>IF(AND(ISNUMBER(I312),ISNUMBER(F312)),IF(I312=0,"",(I312-F312)/I312),"")</f>
        <v/>
      </c>
      <c r="L312" s="22" t="n"/>
      <c r="M312" s="24">
        <f>IF(AND(ISNUMBER(I312),ISNUMBER(L312)),I312-L312,"")</f>
        <v/>
      </c>
      <c r="N312" s="25">
        <f>IF(AND(C312="",E312=""),"",IF(AND(H312&lt;&gt;"",NOT(ISNUMBER(H312))),"Cek Harga Manual",IF(AND(F312="-",NOT(ISNUMBER(H312))),"Isi Harga Manual",IF(F312="-","HPP akan dihapus",IF(AND(F312&lt;&gt;"",NOT(ISNUMBER(F312))),"Cek HPP",IF(AND(ISNUMBER(G312),OR(G312&lt;0,G312&gt;20)),"Cek Markup",IF(NOT(ISNUMBER(I312)),"Harga belum ada",IF(F312="","HPP kosong",IF(F312=0,"HPP 0, cek",IF(I312&lt;=F312,"RUGI / impas",IF(NOT(ISNUMBER(L312)),"Baru",IF(M312=0,"OK",IF(ABS(M312)&gt;=0.3*L312,"Berubah besar","Harga berubah")))))))))))))</f>
        <v/>
      </c>
      <c r="O312" s="18" t="n"/>
      <c r="P312" s="18" t="n"/>
      <c r="Q312" s="26" t="n"/>
    </row>
    <row r="313">
      <c r="A313" s="17" t="n"/>
      <c r="B313" s="18" t="n"/>
      <c r="C313" s="19" t="n"/>
      <c r="D313" s="19" t="n"/>
      <c r="E313" s="19" t="n"/>
      <c r="F313" s="20" t="n"/>
      <c r="G313" s="21" t="n"/>
      <c r="H313" s="20" t="n"/>
      <c r="I313" s="22">
        <f>IF(ISNUMBER(H313),H313,IF(AND(ISNUMBER(F313),ISNUMBER(G313)),CEILING(ROUND(F313*(1+G313),2),1000),""))</f>
        <v/>
      </c>
      <c r="J313" s="22">
        <f>IF(AND(ISNUMBER(I313),ISNUMBER(F313)),I313-F313,"")</f>
        <v/>
      </c>
      <c r="K313" s="23">
        <f>IF(AND(ISNUMBER(I313),ISNUMBER(F313)),IF(I313=0,"",(I313-F313)/I313),"")</f>
        <v/>
      </c>
      <c r="L313" s="22" t="n"/>
      <c r="M313" s="24">
        <f>IF(AND(ISNUMBER(I313),ISNUMBER(L313)),I313-L313,"")</f>
        <v/>
      </c>
      <c r="N313" s="25">
        <f>IF(AND(C313="",E313=""),"",IF(AND(H313&lt;&gt;"",NOT(ISNUMBER(H313))),"Cek Harga Manual",IF(AND(F313="-",NOT(ISNUMBER(H313))),"Isi Harga Manual",IF(F313="-","HPP akan dihapus",IF(AND(F313&lt;&gt;"",NOT(ISNUMBER(F313))),"Cek HPP",IF(AND(ISNUMBER(G313),OR(G313&lt;0,G313&gt;20)),"Cek Markup",IF(NOT(ISNUMBER(I313)),"Harga belum ada",IF(F313="","HPP kosong",IF(F313=0,"HPP 0, cek",IF(I313&lt;=F313,"RUGI / impas",IF(NOT(ISNUMBER(L313)),"Baru",IF(M313=0,"OK",IF(ABS(M313)&gt;=0.3*L313,"Berubah besar","Harga berubah")))))))))))))</f>
        <v/>
      </c>
      <c r="O313" s="18" t="n"/>
      <c r="P313" s="18" t="n"/>
      <c r="Q313" s="26" t="n"/>
    </row>
    <row r="314">
      <c r="A314" s="17" t="n"/>
      <c r="B314" s="18" t="n"/>
      <c r="C314" s="19" t="n"/>
      <c r="D314" s="19" t="n"/>
      <c r="E314" s="19" t="n"/>
      <c r="F314" s="20" t="n"/>
      <c r="G314" s="21" t="n"/>
      <c r="H314" s="20" t="n"/>
      <c r="I314" s="22">
        <f>IF(ISNUMBER(H314),H314,IF(AND(ISNUMBER(F314),ISNUMBER(G314)),CEILING(ROUND(F314*(1+G314),2),1000),""))</f>
        <v/>
      </c>
      <c r="J314" s="22">
        <f>IF(AND(ISNUMBER(I314),ISNUMBER(F314)),I314-F314,"")</f>
        <v/>
      </c>
      <c r="K314" s="23">
        <f>IF(AND(ISNUMBER(I314),ISNUMBER(F314)),IF(I314=0,"",(I314-F314)/I314),"")</f>
        <v/>
      </c>
      <c r="L314" s="22" t="n"/>
      <c r="M314" s="24">
        <f>IF(AND(ISNUMBER(I314),ISNUMBER(L314)),I314-L314,"")</f>
        <v/>
      </c>
      <c r="N314" s="25">
        <f>IF(AND(C314="",E314=""),"",IF(AND(H314&lt;&gt;"",NOT(ISNUMBER(H314))),"Cek Harga Manual",IF(AND(F314="-",NOT(ISNUMBER(H314))),"Isi Harga Manual",IF(F314="-","HPP akan dihapus",IF(AND(F314&lt;&gt;"",NOT(ISNUMBER(F314))),"Cek HPP",IF(AND(ISNUMBER(G314),OR(G314&lt;0,G314&gt;20)),"Cek Markup",IF(NOT(ISNUMBER(I314)),"Harga belum ada",IF(F314="","HPP kosong",IF(F314=0,"HPP 0, cek",IF(I314&lt;=F314,"RUGI / impas",IF(NOT(ISNUMBER(L314)),"Baru",IF(M314=0,"OK",IF(ABS(M314)&gt;=0.3*L314,"Berubah besar","Harga berubah")))))))))))))</f>
        <v/>
      </c>
      <c r="O314" s="18" t="n"/>
      <c r="P314" s="18" t="n"/>
      <c r="Q314" s="26" t="n"/>
    </row>
    <row r="315">
      <c r="A315" s="17" t="n"/>
      <c r="B315" s="18" t="n"/>
      <c r="C315" s="19" t="n"/>
      <c r="D315" s="19" t="n"/>
      <c r="E315" s="19" t="n"/>
      <c r="F315" s="20" t="n"/>
      <c r="G315" s="21" t="n"/>
      <c r="H315" s="20" t="n"/>
      <c r="I315" s="22">
        <f>IF(ISNUMBER(H315),H315,IF(AND(ISNUMBER(F315),ISNUMBER(G315)),CEILING(ROUND(F315*(1+G315),2),1000),""))</f>
        <v/>
      </c>
      <c r="J315" s="22">
        <f>IF(AND(ISNUMBER(I315),ISNUMBER(F315)),I315-F315,"")</f>
        <v/>
      </c>
      <c r="K315" s="23">
        <f>IF(AND(ISNUMBER(I315),ISNUMBER(F315)),IF(I315=0,"",(I315-F315)/I315),"")</f>
        <v/>
      </c>
      <c r="L315" s="22" t="n"/>
      <c r="M315" s="24">
        <f>IF(AND(ISNUMBER(I315),ISNUMBER(L315)),I315-L315,"")</f>
        <v/>
      </c>
      <c r="N315" s="25">
        <f>IF(AND(C315="",E315=""),"",IF(AND(H315&lt;&gt;"",NOT(ISNUMBER(H315))),"Cek Harga Manual",IF(AND(F315="-",NOT(ISNUMBER(H315))),"Isi Harga Manual",IF(F315="-","HPP akan dihapus",IF(AND(F315&lt;&gt;"",NOT(ISNUMBER(F315))),"Cek HPP",IF(AND(ISNUMBER(G315),OR(G315&lt;0,G315&gt;20)),"Cek Markup",IF(NOT(ISNUMBER(I315)),"Harga belum ada",IF(F315="","HPP kosong",IF(F315=0,"HPP 0, cek",IF(I315&lt;=F315,"RUGI / impas",IF(NOT(ISNUMBER(L315)),"Baru",IF(M315=0,"OK",IF(ABS(M315)&gt;=0.3*L315,"Berubah besar","Harga berubah")))))))))))))</f>
        <v/>
      </c>
      <c r="O315" s="18" t="n"/>
      <c r="P315" s="18" t="n"/>
      <c r="Q315" s="26" t="n"/>
    </row>
    <row r="316">
      <c r="A316" s="17" t="n"/>
      <c r="B316" s="18" t="n"/>
      <c r="C316" s="19" t="n"/>
      <c r="D316" s="19" t="n"/>
      <c r="E316" s="19" t="n"/>
      <c r="F316" s="20" t="n"/>
      <c r="G316" s="21" t="n"/>
      <c r="H316" s="20" t="n"/>
      <c r="I316" s="22">
        <f>IF(ISNUMBER(H316),H316,IF(AND(ISNUMBER(F316),ISNUMBER(G316)),CEILING(ROUND(F316*(1+G316),2),1000),""))</f>
        <v/>
      </c>
      <c r="J316" s="22">
        <f>IF(AND(ISNUMBER(I316),ISNUMBER(F316)),I316-F316,"")</f>
        <v/>
      </c>
      <c r="K316" s="23">
        <f>IF(AND(ISNUMBER(I316),ISNUMBER(F316)),IF(I316=0,"",(I316-F316)/I316),"")</f>
        <v/>
      </c>
      <c r="L316" s="22" t="n"/>
      <c r="M316" s="24">
        <f>IF(AND(ISNUMBER(I316),ISNUMBER(L316)),I316-L316,"")</f>
        <v/>
      </c>
      <c r="N316" s="25">
        <f>IF(AND(C316="",E316=""),"",IF(AND(H316&lt;&gt;"",NOT(ISNUMBER(H316))),"Cek Harga Manual",IF(AND(F316="-",NOT(ISNUMBER(H316))),"Isi Harga Manual",IF(F316="-","HPP akan dihapus",IF(AND(F316&lt;&gt;"",NOT(ISNUMBER(F316))),"Cek HPP",IF(AND(ISNUMBER(G316),OR(G316&lt;0,G316&gt;20)),"Cek Markup",IF(NOT(ISNUMBER(I316)),"Harga belum ada",IF(F316="","HPP kosong",IF(F316=0,"HPP 0, cek",IF(I316&lt;=F316,"RUGI / impas",IF(NOT(ISNUMBER(L316)),"Baru",IF(M316=0,"OK",IF(ABS(M316)&gt;=0.3*L316,"Berubah besar","Harga berubah")))))))))))))</f>
        <v/>
      </c>
      <c r="O316" s="18" t="n"/>
      <c r="P316" s="18" t="n"/>
      <c r="Q316" s="26" t="n"/>
    </row>
    <row r="317">
      <c r="A317" s="17" t="n"/>
      <c r="B317" s="18" t="n"/>
      <c r="C317" s="19" t="n"/>
      <c r="D317" s="19" t="n"/>
      <c r="E317" s="19" t="n"/>
      <c r="F317" s="20" t="n"/>
      <c r="G317" s="21" t="n"/>
      <c r="H317" s="20" t="n"/>
      <c r="I317" s="22">
        <f>IF(ISNUMBER(H317),H317,IF(AND(ISNUMBER(F317),ISNUMBER(G317)),CEILING(ROUND(F317*(1+G317),2),1000),""))</f>
        <v/>
      </c>
      <c r="J317" s="22">
        <f>IF(AND(ISNUMBER(I317),ISNUMBER(F317)),I317-F317,"")</f>
        <v/>
      </c>
      <c r="K317" s="23">
        <f>IF(AND(ISNUMBER(I317),ISNUMBER(F317)),IF(I317=0,"",(I317-F317)/I317),"")</f>
        <v/>
      </c>
      <c r="L317" s="22" t="n"/>
      <c r="M317" s="24">
        <f>IF(AND(ISNUMBER(I317),ISNUMBER(L317)),I317-L317,"")</f>
        <v/>
      </c>
      <c r="N317" s="25">
        <f>IF(AND(C317="",E317=""),"",IF(AND(H317&lt;&gt;"",NOT(ISNUMBER(H317))),"Cek Harga Manual",IF(AND(F317="-",NOT(ISNUMBER(H317))),"Isi Harga Manual",IF(F317="-","HPP akan dihapus",IF(AND(F317&lt;&gt;"",NOT(ISNUMBER(F317))),"Cek HPP",IF(AND(ISNUMBER(G317),OR(G317&lt;0,G317&gt;20)),"Cek Markup",IF(NOT(ISNUMBER(I317)),"Harga belum ada",IF(F317="","HPP kosong",IF(F317=0,"HPP 0, cek",IF(I317&lt;=F317,"RUGI / impas",IF(NOT(ISNUMBER(L317)),"Baru",IF(M317=0,"OK",IF(ABS(M317)&gt;=0.3*L317,"Berubah besar","Harga berubah")))))))))))))</f>
        <v/>
      </c>
      <c r="O317" s="18" t="n"/>
      <c r="P317" s="18" t="n"/>
      <c r="Q317" s="26" t="n"/>
    </row>
    <row r="318">
      <c r="A318" s="17" t="n"/>
      <c r="B318" s="18" t="n"/>
      <c r="C318" s="19" t="n"/>
      <c r="D318" s="19" t="n"/>
      <c r="E318" s="19" t="n"/>
      <c r="F318" s="20" t="n"/>
      <c r="G318" s="21" t="n"/>
      <c r="H318" s="20" t="n"/>
      <c r="I318" s="22">
        <f>IF(ISNUMBER(H318),H318,IF(AND(ISNUMBER(F318),ISNUMBER(G318)),CEILING(ROUND(F318*(1+G318),2),1000),""))</f>
        <v/>
      </c>
      <c r="J318" s="22">
        <f>IF(AND(ISNUMBER(I318),ISNUMBER(F318)),I318-F318,"")</f>
        <v/>
      </c>
      <c r="K318" s="23">
        <f>IF(AND(ISNUMBER(I318),ISNUMBER(F318)),IF(I318=0,"",(I318-F318)/I318),"")</f>
        <v/>
      </c>
      <c r="L318" s="22" t="n"/>
      <c r="M318" s="24">
        <f>IF(AND(ISNUMBER(I318),ISNUMBER(L318)),I318-L318,"")</f>
        <v/>
      </c>
      <c r="N318" s="25">
        <f>IF(AND(C318="",E318=""),"",IF(AND(H318&lt;&gt;"",NOT(ISNUMBER(H318))),"Cek Harga Manual",IF(AND(F318="-",NOT(ISNUMBER(H318))),"Isi Harga Manual",IF(F318="-","HPP akan dihapus",IF(AND(F318&lt;&gt;"",NOT(ISNUMBER(F318))),"Cek HPP",IF(AND(ISNUMBER(G318),OR(G318&lt;0,G318&gt;20)),"Cek Markup",IF(NOT(ISNUMBER(I318)),"Harga belum ada",IF(F318="","HPP kosong",IF(F318=0,"HPP 0, cek",IF(I318&lt;=F318,"RUGI / impas",IF(NOT(ISNUMBER(L318)),"Baru",IF(M318=0,"OK",IF(ABS(M318)&gt;=0.3*L318,"Berubah besar","Harga berubah")))))))))))))</f>
        <v/>
      </c>
      <c r="O318" s="18" t="n"/>
      <c r="P318" s="18" t="n"/>
      <c r="Q318" s="26" t="n"/>
    </row>
    <row r="319">
      <c r="A319" s="17" t="n"/>
      <c r="B319" s="18" t="n"/>
      <c r="C319" s="19" t="n"/>
      <c r="D319" s="19" t="n"/>
      <c r="E319" s="19" t="n"/>
      <c r="F319" s="20" t="n"/>
      <c r="G319" s="21" t="n"/>
      <c r="H319" s="20" t="n"/>
      <c r="I319" s="22">
        <f>IF(ISNUMBER(H319),H319,IF(AND(ISNUMBER(F319),ISNUMBER(G319)),CEILING(ROUND(F319*(1+G319),2),1000),""))</f>
        <v/>
      </c>
      <c r="J319" s="22">
        <f>IF(AND(ISNUMBER(I319),ISNUMBER(F319)),I319-F319,"")</f>
        <v/>
      </c>
      <c r="K319" s="23">
        <f>IF(AND(ISNUMBER(I319),ISNUMBER(F319)),IF(I319=0,"",(I319-F319)/I319),"")</f>
        <v/>
      </c>
      <c r="L319" s="22" t="n"/>
      <c r="M319" s="24">
        <f>IF(AND(ISNUMBER(I319),ISNUMBER(L319)),I319-L319,"")</f>
        <v/>
      </c>
      <c r="N319" s="25">
        <f>IF(AND(C319="",E319=""),"",IF(AND(H319&lt;&gt;"",NOT(ISNUMBER(H319))),"Cek Harga Manual",IF(AND(F319="-",NOT(ISNUMBER(H319))),"Isi Harga Manual",IF(F319="-","HPP akan dihapus",IF(AND(F319&lt;&gt;"",NOT(ISNUMBER(F319))),"Cek HPP",IF(AND(ISNUMBER(G319),OR(G319&lt;0,G319&gt;20)),"Cek Markup",IF(NOT(ISNUMBER(I319)),"Harga belum ada",IF(F319="","HPP kosong",IF(F319=0,"HPP 0, cek",IF(I319&lt;=F319,"RUGI / impas",IF(NOT(ISNUMBER(L319)),"Baru",IF(M319=0,"OK",IF(ABS(M319)&gt;=0.3*L319,"Berubah besar","Harga berubah")))))))))))))</f>
        <v/>
      </c>
      <c r="O319" s="18" t="n"/>
      <c r="P319" s="18" t="n"/>
      <c r="Q319" s="26" t="n"/>
    </row>
    <row r="320">
      <c r="A320" s="17" t="n"/>
      <c r="B320" s="18" t="n"/>
      <c r="C320" s="19" t="n"/>
      <c r="D320" s="19" t="n"/>
      <c r="E320" s="19" t="n"/>
      <c r="F320" s="20" t="n"/>
      <c r="G320" s="21" t="n"/>
      <c r="H320" s="20" t="n"/>
      <c r="I320" s="22">
        <f>IF(ISNUMBER(H320),H320,IF(AND(ISNUMBER(F320),ISNUMBER(G320)),CEILING(ROUND(F320*(1+G320),2),1000),""))</f>
        <v/>
      </c>
      <c r="J320" s="22">
        <f>IF(AND(ISNUMBER(I320),ISNUMBER(F320)),I320-F320,"")</f>
        <v/>
      </c>
      <c r="K320" s="23">
        <f>IF(AND(ISNUMBER(I320),ISNUMBER(F320)),IF(I320=0,"",(I320-F320)/I320),"")</f>
        <v/>
      </c>
      <c r="L320" s="22" t="n"/>
      <c r="M320" s="24">
        <f>IF(AND(ISNUMBER(I320),ISNUMBER(L320)),I320-L320,"")</f>
        <v/>
      </c>
      <c r="N320" s="25">
        <f>IF(AND(C320="",E320=""),"",IF(AND(H320&lt;&gt;"",NOT(ISNUMBER(H320))),"Cek Harga Manual",IF(AND(F320="-",NOT(ISNUMBER(H320))),"Isi Harga Manual",IF(F320="-","HPP akan dihapus",IF(AND(F320&lt;&gt;"",NOT(ISNUMBER(F320))),"Cek HPP",IF(AND(ISNUMBER(G320),OR(G320&lt;0,G320&gt;20)),"Cek Markup",IF(NOT(ISNUMBER(I320)),"Harga belum ada",IF(F320="","HPP kosong",IF(F320=0,"HPP 0, cek",IF(I320&lt;=F320,"RUGI / impas",IF(NOT(ISNUMBER(L320)),"Baru",IF(M320=0,"OK",IF(ABS(M320)&gt;=0.3*L320,"Berubah besar","Harga berubah")))))))))))))</f>
        <v/>
      </c>
      <c r="O320" s="18" t="n"/>
      <c r="P320" s="18" t="n"/>
      <c r="Q320" s="26" t="n"/>
    </row>
    <row r="321">
      <c r="A321" s="17" t="n"/>
      <c r="B321" s="18" t="n"/>
      <c r="C321" s="19" t="n"/>
      <c r="D321" s="19" t="n"/>
      <c r="E321" s="19" t="n"/>
      <c r="F321" s="20" t="n"/>
      <c r="G321" s="21" t="n"/>
      <c r="H321" s="20" t="n"/>
      <c r="I321" s="22">
        <f>IF(ISNUMBER(H321),H321,IF(AND(ISNUMBER(F321),ISNUMBER(G321)),CEILING(ROUND(F321*(1+G321),2),1000),""))</f>
        <v/>
      </c>
      <c r="J321" s="22">
        <f>IF(AND(ISNUMBER(I321),ISNUMBER(F321)),I321-F321,"")</f>
        <v/>
      </c>
      <c r="K321" s="23">
        <f>IF(AND(ISNUMBER(I321),ISNUMBER(F321)),IF(I321=0,"",(I321-F321)/I321),"")</f>
        <v/>
      </c>
      <c r="L321" s="22" t="n"/>
      <c r="M321" s="24">
        <f>IF(AND(ISNUMBER(I321),ISNUMBER(L321)),I321-L321,"")</f>
        <v/>
      </c>
      <c r="N321" s="25">
        <f>IF(AND(C321="",E321=""),"",IF(AND(H321&lt;&gt;"",NOT(ISNUMBER(H321))),"Cek Harga Manual",IF(AND(F321="-",NOT(ISNUMBER(H321))),"Isi Harga Manual",IF(F321="-","HPP akan dihapus",IF(AND(F321&lt;&gt;"",NOT(ISNUMBER(F321))),"Cek HPP",IF(AND(ISNUMBER(G321),OR(G321&lt;0,G321&gt;20)),"Cek Markup",IF(NOT(ISNUMBER(I321)),"Harga belum ada",IF(F321="","HPP kosong",IF(F321=0,"HPP 0, cek",IF(I321&lt;=F321,"RUGI / impas",IF(NOT(ISNUMBER(L321)),"Baru",IF(M321=0,"OK",IF(ABS(M321)&gt;=0.3*L321,"Berubah besar","Harga berubah")))))))))))))</f>
        <v/>
      </c>
      <c r="O321" s="18" t="n"/>
      <c r="P321" s="18" t="n"/>
      <c r="Q321" s="26" t="n"/>
    </row>
    <row r="322">
      <c r="A322" s="17" t="n"/>
      <c r="B322" s="18" t="n"/>
      <c r="C322" s="19" t="n"/>
      <c r="D322" s="19" t="n"/>
      <c r="E322" s="19" t="n"/>
      <c r="F322" s="20" t="n"/>
      <c r="G322" s="21" t="n"/>
      <c r="H322" s="20" t="n"/>
      <c r="I322" s="22">
        <f>IF(ISNUMBER(H322),H322,IF(AND(ISNUMBER(F322),ISNUMBER(G322)),CEILING(ROUND(F322*(1+G322),2),1000),""))</f>
        <v/>
      </c>
      <c r="J322" s="22">
        <f>IF(AND(ISNUMBER(I322),ISNUMBER(F322)),I322-F322,"")</f>
        <v/>
      </c>
      <c r="K322" s="23">
        <f>IF(AND(ISNUMBER(I322),ISNUMBER(F322)),IF(I322=0,"",(I322-F322)/I322),"")</f>
        <v/>
      </c>
      <c r="L322" s="22" t="n"/>
      <c r="M322" s="24">
        <f>IF(AND(ISNUMBER(I322),ISNUMBER(L322)),I322-L322,"")</f>
        <v/>
      </c>
      <c r="N322" s="25">
        <f>IF(AND(C322="",E322=""),"",IF(AND(H322&lt;&gt;"",NOT(ISNUMBER(H322))),"Cek Harga Manual",IF(AND(F322="-",NOT(ISNUMBER(H322))),"Isi Harga Manual",IF(F322="-","HPP akan dihapus",IF(AND(F322&lt;&gt;"",NOT(ISNUMBER(F322))),"Cek HPP",IF(AND(ISNUMBER(G322),OR(G322&lt;0,G322&gt;20)),"Cek Markup",IF(NOT(ISNUMBER(I322)),"Harga belum ada",IF(F322="","HPP kosong",IF(F322=0,"HPP 0, cek",IF(I322&lt;=F322,"RUGI / impas",IF(NOT(ISNUMBER(L322)),"Baru",IF(M322=0,"OK",IF(ABS(M322)&gt;=0.3*L322,"Berubah besar","Harga berubah")))))))))))))</f>
        <v/>
      </c>
      <c r="O322" s="18" t="n"/>
      <c r="P322" s="18" t="n"/>
      <c r="Q322" s="26" t="n"/>
    </row>
    <row r="323">
      <c r="A323" s="17" t="n"/>
      <c r="B323" s="18" t="n"/>
      <c r="C323" s="19" t="n"/>
      <c r="D323" s="19" t="n"/>
      <c r="E323" s="19" t="n"/>
      <c r="F323" s="20" t="n"/>
      <c r="G323" s="21" t="n"/>
      <c r="H323" s="20" t="n"/>
      <c r="I323" s="22">
        <f>IF(ISNUMBER(H323),H323,IF(AND(ISNUMBER(F323),ISNUMBER(G323)),CEILING(ROUND(F323*(1+G323),2),1000),""))</f>
        <v/>
      </c>
      <c r="J323" s="22">
        <f>IF(AND(ISNUMBER(I323),ISNUMBER(F323)),I323-F323,"")</f>
        <v/>
      </c>
      <c r="K323" s="23">
        <f>IF(AND(ISNUMBER(I323),ISNUMBER(F323)),IF(I323=0,"",(I323-F323)/I323),"")</f>
        <v/>
      </c>
      <c r="L323" s="22" t="n"/>
      <c r="M323" s="24">
        <f>IF(AND(ISNUMBER(I323),ISNUMBER(L323)),I323-L323,"")</f>
        <v/>
      </c>
      <c r="N323" s="25">
        <f>IF(AND(C323="",E323=""),"",IF(AND(H323&lt;&gt;"",NOT(ISNUMBER(H323))),"Cek Harga Manual",IF(AND(F323="-",NOT(ISNUMBER(H323))),"Isi Harga Manual",IF(F323="-","HPP akan dihapus",IF(AND(F323&lt;&gt;"",NOT(ISNUMBER(F323))),"Cek HPP",IF(AND(ISNUMBER(G323),OR(G323&lt;0,G323&gt;20)),"Cek Markup",IF(NOT(ISNUMBER(I323)),"Harga belum ada",IF(F323="","HPP kosong",IF(F323=0,"HPP 0, cek",IF(I323&lt;=F323,"RUGI / impas",IF(NOT(ISNUMBER(L323)),"Baru",IF(M323=0,"OK",IF(ABS(M323)&gt;=0.3*L323,"Berubah besar","Harga berubah")))))))))))))</f>
        <v/>
      </c>
      <c r="O323" s="18" t="n"/>
      <c r="P323" s="18" t="n"/>
      <c r="Q323" s="26" t="n"/>
    </row>
    <row r="324">
      <c r="A324" s="17" t="n"/>
      <c r="B324" s="18" t="n"/>
      <c r="C324" s="19" t="n"/>
      <c r="D324" s="19" t="n"/>
      <c r="E324" s="19" t="n"/>
      <c r="F324" s="20" t="n"/>
      <c r="G324" s="21" t="n"/>
      <c r="H324" s="20" t="n"/>
      <c r="I324" s="22">
        <f>IF(ISNUMBER(H324),H324,IF(AND(ISNUMBER(F324),ISNUMBER(G324)),CEILING(ROUND(F324*(1+G324),2),1000),""))</f>
        <v/>
      </c>
      <c r="J324" s="22">
        <f>IF(AND(ISNUMBER(I324),ISNUMBER(F324)),I324-F324,"")</f>
        <v/>
      </c>
      <c r="K324" s="23">
        <f>IF(AND(ISNUMBER(I324),ISNUMBER(F324)),IF(I324=0,"",(I324-F324)/I324),"")</f>
        <v/>
      </c>
      <c r="L324" s="22" t="n"/>
      <c r="M324" s="24">
        <f>IF(AND(ISNUMBER(I324),ISNUMBER(L324)),I324-L324,"")</f>
        <v/>
      </c>
      <c r="N324" s="25">
        <f>IF(AND(C324="",E324=""),"",IF(AND(H324&lt;&gt;"",NOT(ISNUMBER(H324))),"Cek Harga Manual",IF(AND(F324="-",NOT(ISNUMBER(H324))),"Isi Harga Manual",IF(F324="-","HPP akan dihapus",IF(AND(F324&lt;&gt;"",NOT(ISNUMBER(F324))),"Cek HPP",IF(AND(ISNUMBER(G324),OR(G324&lt;0,G324&gt;20)),"Cek Markup",IF(NOT(ISNUMBER(I324)),"Harga belum ada",IF(F324="","HPP kosong",IF(F324=0,"HPP 0, cek",IF(I324&lt;=F324,"RUGI / impas",IF(NOT(ISNUMBER(L324)),"Baru",IF(M324=0,"OK",IF(ABS(M324)&gt;=0.3*L324,"Berubah besar","Harga berubah")))))))))))))</f>
        <v/>
      </c>
      <c r="O324" s="18" t="n"/>
      <c r="P324" s="18" t="n"/>
      <c r="Q324" s="26" t="n"/>
    </row>
    <row r="325">
      <c r="A325" s="17" t="n"/>
      <c r="B325" s="18" t="n"/>
      <c r="C325" s="19" t="n"/>
      <c r="D325" s="19" t="n"/>
      <c r="E325" s="19" t="n"/>
      <c r="F325" s="20" t="n"/>
      <c r="G325" s="21" t="n"/>
      <c r="H325" s="20" t="n"/>
      <c r="I325" s="22">
        <f>IF(ISNUMBER(H325),H325,IF(AND(ISNUMBER(F325),ISNUMBER(G325)),CEILING(ROUND(F325*(1+G325),2),1000),""))</f>
        <v/>
      </c>
      <c r="J325" s="22">
        <f>IF(AND(ISNUMBER(I325),ISNUMBER(F325)),I325-F325,"")</f>
        <v/>
      </c>
      <c r="K325" s="23">
        <f>IF(AND(ISNUMBER(I325),ISNUMBER(F325)),IF(I325=0,"",(I325-F325)/I325),"")</f>
        <v/>
      </c>
      <c r="L325" s="22" t="n"/>
      <c r="M325" s="24">
        <f>IF(AND(ISNUMBER(I325),ISNUMBER(L325)),I325-L325,"")</f>
        <v/>
      </c>
      <c r="N325" s="25">
        <f>IF(AND(C325="",E325=""),"",IF(AND(H325&lt;&gt;"",NOT(ISNUMBER(H325))),"Cek Harga Manual",IF(AND(F325="-",NOT(ISNUMBER(H325))),"Isi Harga Manual",IF(F325="-","HPP akan dihapus",IF(AND(F325&lt;&gt;"",NOT(ISNUMBER(F325))),"Cek HPP",IF(AND(ISNUMBER(G325),OR(G325&lt;0,G325&gt;20)),"Cek Markup",IF(NOT(ISNUMBER(I325)),"Harga belum ada",IF(F325="","HPP kosong",IF(F325=0,"HPP 0, cek",IF(I325&lt;=F325,"RUGI / impas",IF(NOT(ISNUMBER(L325)),"Baru",IF(M325=0,"OK",IF(ABS(M325)&gt;=0.3*L325,"Berubah besar","Harga berubah")))))))))))))</f>
        <v/>
      </c>
      <c r="O325" s="18" t="n"/>
      <c r="P325" s="18" t="n"/>
      <c r="Q325" s="26" t="n"/>
    </row>
    <row r="326">
      <c r="A326" s="17" t="n"/>
      <c r="B326" s="18" t="n"/>
      <c r="C326" s="19" t="n"/>
      <c r="D326" s="19" t="n"/>
      <c r="E326" s="19" t="n"/>
      <c r="F326" s="20" t="n"/>
      <c r="G326" s="21" t="n"/>
      <c r="H326" s="20" t="n"/>
      <c r="I326" s="22">
        <f>IF(ISNUMBER(H326),H326,IF(AND(ISNUMBER(F326),ISNUMBER(G326)),CEILING(ROUND(F326*(1+G326),2),1000),""))</f>
        <v/>
      </c>
      <c r="J326" s="22">
        <f>IF(AND(ISNUMBER(I326),ISNUMBER(F326)),I326-F326,"")</f>
        <v/>
      </c>
      <c r="K326" s="23">
        <f>IF(AND(ISNUMBER(I326),ISNUMBER(F326)),IF(I326=0,"",(I326-F326)/I326),"")</f>
        <v/>
      </c>
      <c r="L326" s="22" t="n"/>
      <c r="M326" s="24">
        <f>IF(AND(ISNUMBER(I326),ISNUMBER(L326)),I326-L326,"")</f>
        <v/>
      </c>
      <c r="N326" s="25">
        <f>IF(AND(C326="",E326=""),"",IF(AND(H326&lt;&gt;"",NOT(ISNUMBER(H326))),"Cek Harga Manual",IF(AND(F326="-",NOT(ISNUMBER(H326))),"Isi Harga Manual",IF(F326="-","HPP akan dihapus",IF(AND(F326&lt;&gt;"",NOT(ISNUMBER(F326))),"Cek HPP",IF(AND(ISNUMBER(G326),OR(G326&lt;0,G326&gt;20)),"Cek Markup",IF(NOT(ISNUMBER(I326)),"Harga belum ada",IF(F326="","HPP kosong",IF(F326=0,"HPP 0, cek",IF(I326&lt;=F326,"RUGI / impas",IF(NOT(ISNUMBER(L326)),"Baru",IF(M326=0,"OK",IF(ABS(M326)&gt;=0.3*L326,"Berubah besar","Harga berubah")))))))))))))</f>
        <v/>
      </c>
      <c r="O326" s="18" t="n"/>
      <c r="P326" s="18" t="n"/>
      <c r="Q326" s="26" t="n"/>
    </row>
    <row r="327">
      <c r="A327" s="17" t="n"/>
      <c r="B327" s="18" t="n"/>
      <c r="C327" s="19" t="n"/>
      <c r="D327" s="19" t="n"/>
      <c r="E327" s="19" t="n"/>
      <c r="F327" s="20" t="n"/>
      <c r="G327" s="21" t="n"/>
      <c r="H327" s="20" t="n"/>
      <c r="I327" s="22">
        <f>IF(ISNUMBER(H327),H327,IF(AND(ISNUMBER(F327),ISNUMBER(G327)),CEILING(ROUND(F327*(1+G327),2),1000),""))</f>
        <v/>
      </c>
      <c r="J327" s="22">
        <f>IF(AND(ISNUMBER(I327),ISNUMBER(F327)),I327-F327,"")</f>
        <v/>
      </c>
      <c r="K327" s="23">
        <f>IF(AND(ISNUMBER(I327),ISNUMBER(F327)),IF(I327=0,"",(I327-F327)/I327),"")</f>
        <v/>
      </c>
      <c r="L327" s="22" t="n"/>
      <c r="M327" s="24">
        <f>IF(AND(ISNUMBER(I327),ISNUMBER(L327)),I327-L327,"")</f>
        <v/>
      </c>
      <c r="N327" s="25">
        <f>IF(AND(C327="",E327=""),"",IF(AND(H327&lt;&gt;"",NOT(ISNUMBER(H327))),"Cek Harga Manual",IF(AND(F327="-",NOT(ISNUMBER(H327))),"Isi Harga Manual",IF(F327="-","HPP akan dihapus",IF(AND(F327&lt;&gt;"",NOT(ISNUMBER(F327))),"Cek HPP",IF(AND(ISNUMBER(G327),OR(G327&lt;0,G327&gt;20)),"Cek Markup",IF(NOT(ISNUMBER(I327)),"Harga belum ada",IF(F327="","HPP kosong",IF(F327=0,"HPP 0, cek",IF(I327&lt;=F327,"RUGI / impas",IF(NOT(ISNUMBER(L327)),"Baru",IF(M327=0,"OK",IF(ABS(M327)&gt;=0.3*L327,"Berubah besar","Harga berubah")))))))))))))</f>
        <v/>
      </c>
      <c r="O327" s="18" t="n"/>
      <c r="P327" s="18" t="n"/>
      <c r="Q327" s="26" t="n"/>
    </row>
    <row r="328">
      <c r="A328" s="17" t="n"/>
      <c r="B328" s="18" t="n"/>
      <c r="C328" s="19" t="n"/>
      <c r="D328" s="19" t="n"/>
      <c r="E328" s="19" t="n"/>
      <c r="F328" s="20" t="n"/>
      <c r="G328" s="21" t="n"/>
      <c r="H328" s="20" t="n"/>
      <c r="I328" s="22">
        <f>IF(ISNUMBER(H328),H328,IF(AND(ISNUMBER(F328),ISNUMBER(G328)),CEILING(ROUND(F328*(1+G328),2),1000),""))</f>
        <v/>
      </c>
      <c r="J328" s="22">
        <f>IF(AND(ISNUMBER(I328),ISNUMBER(F328)),I328-F328,"")</f>
        <v/>
      </c>
      <c r="K328" s="23">
        <f>IF(AND(ISNUMBER(I328),ISNUMBER(F328)),IF(I328=0,"",(I328-F328)/I328),"")</f>
        <v/>
      </c>
      <c r="L328" s="22" t="n"/>
      <c r="M328" s="24">
        <f>IF(AND(ISNUMBER(I328),ISNUMBER(L328)),I328-L328,"")</f>
        <v/>
      </c>
      <c r="N328" s="25">
        <f>IF(AND(C328="",E328=""),"",IF(AND(H328&lt;&gt;"",NOT(ISNUMBER(H328))),"Cek Harga Manual",IF(AND(F328="-",NOT(ISNUMBER(H328))),"Isi Harga Manual",IF(F328="-","HPP akan dihapus",IF(AND(F328&lt;&gt;"",NOT(ISNUMBER(F328))),"Cek HPP",IF(AND(ISNUMBER(G328),OR(G328&lt;0,G328&gt;20)),"Cek Markup",IF(NOT(ISNUMBER(I328)),"Harga belum ada",IF(F328="","HPP kosong",IF(F328=0,"HPP 0, cek",IF(I328&lt;=F328,"RUGI / impas",IF(NOT(ISNUMBER(L328)),"Baru",IF(M328=0,"OK",IF(ABS(M328)&gt;=0.3*L328,"Berubah besar","Harga berubah")))))))))))))</f>
        <v/>
      </c>
      <c r="O328" s="18" t="n"/>
      <c r="P328" s="18" t="n"/>
      <c r="Q328" s="26" t="n"/>
    </row>
    <row r="329">
      <c r="A329" s="17" t="n"/>
      <c r="B329" s="18" t="n"/>
      <c r="C329" s="19" t="n"/>
      <c r="D329" s="19" t="n"/>
      <c r="E329" s="19" t="n"/>
      <c r="F329" s="20" t="n"/>
      <c r="G329" s="21" t="n"/>
      <c r="H329" s="20" t="n"/>
      <c r="I329" s="22">
        <f>IF(ISNUMBER(H329),H329,IF(AND(ISNUMBER(F329),ISNUMBER(G329)),CEILING(ROUND(F329*(1+G329),2),1000),""))</f>
        <v/>
      </c>
      <c r="J329" s="22">
        <f>IF(AND(ISNUMBER(I329),ISNUMBER(F329)),I329-F329,"")</f>
        <v/>
      </c>
      <c r="K329" s="23">
        <f>IF(AND(ISNUMBER(I329),ISNUMBER(F329)),IF(I329=0,"",(I329-F329)/I329),"")</f>
        <v/>
      </c>
      <c r="L329" s="22" t="n"/>
      <c r="M329" s="24">
        <f>IF(AND(ISNUMBER(I329),ISNUMBER(L329)),I329-L329,"")</f>
        <v/>
      </c>
      <c r="N329" s="25">
        <f>IF(AND(C329="",E329=""),"",IF(AND(H329&lt;&gt;"",NOT(ISNUMBER(H329))),"Cek Harga Manual",IF(AND(F329="-",NOT(ISNUMBER(H329))),"Isi Harga Manual",IF(F329="-","HPP akan dihapus",IF(AND(F329&lt;&gt;"",NOT(ISNUMBER(F329))),"Cek HPP",IF(AND(ISNUMBER(G329),OR(G329&lt;0,G329&gt;20)),"Cek Markup",IF(NOT(ISNUMBER(I329)),"Harga belum ada",IF(F329="","HPP kosong",IF(F329=0,"HPP 0, cek",IF(I329&lt;=F329,"RUGI / impas",IF(NOT(ISNUMBER(L329)),"Baru",IF(M329=0,"OK",IF(ABS(M329)&gt;=0.3*L329,"Berubah besar","Harga berubah")))))))))))))</f>
        <v/>
      </c>
      <c r="O329" s="18" t="n"/>
      <c r="P329" s="18" t="n"/>
      <c r="Q329" s="26" t="n"/>
    </row>
    <row r="330">
      <c r="A330" s="17" t="n"/>
      <c r="B330" s="18" t="n"/>
      <c r="C330" s="19" t="n"/>
      <c r="D330" s="19" t="n"/>
      <c r="E330" s="19" t="n"/>
      <c r="F330" s="20" t="n"/>
      <c r="G330" s="21" t="n"/>
      <c r="H330" s="20" t="n"/>
      <c r="I330" s="22">
        <f>IF(ISNUMBER(H330),H330,IF(AND(ISNUMBER(F330),ISNUMBER(G330)),CEILING(ROUND(F330*(1+G330),2),1000),""))</f>
        <v/>
      </c>
      <c r="J330" s="22">
        <f>IF(AND(ISNUMBER(I330),ISNUMBER(F330)),I330-F330,"")</f>
        <v/>
      </c>
      <c r="K330" s="23">
        <f>IF(AND(ISNUMBER(I330),ISNUMBER(F330)),IF(I330=0,"",(I330-F330)/I330),"")</f>
        <v/>
      </c>
      <c r="L330" s="22" t="n"/>
      <c r="M330" s="24">
        <f>IF(AND(ISNUMBER(I330),ISNUMBER(L330)),I330-L330,"")</f>
        <v/>
      </c>
      <c r="N330" s="25">
        <f>IF(AND(C330="",E330=""),"",IF(AND(H330&lt;&gt;"",NOT(ISNUMBER(H330))),"Cek Harga Manual",IF(AND(F330="-",NOT(ISNUMBER(H330))),"Isi Harga Manual",IF(F330="-","HPP akan dihapus",IF(AND(F330&lt;&gt;"",NOT(ISNUMBER(F330))),"Cek HPP",IF(AND(ISNUMBER(G330),OR(G330&lt;0,G330&gt;20)),"Cek Markup",IF(NOT(ISNUMBER(I330)),"Harga belum ada",IF(F330="","HPP kosong",IF(F330=0,"HPP 0, cek",IF(I330&lt;=F330,"RUGI / impas",IF(NOT(ISNUMBER(L330)),"Baru",IF(M330=0,"OK",IF(ABS(M330)&gt;=0.3*L330,"Berubah besar","Harga berubah")))))))))))))</f>
        <v/>
      </c>
      <c r="O330" s="18" t="n"/>
      <c r="P330" s="18" t="n"/>
      <c r="Q330" s="26" t="n"/>
    </row>
    <row r="331">
      <c r="A331" s="17" t="n"/>
      <c r="B331" s="18" t="n"/>
      <c r="C331" s="19" t="n"/>
      <c r="D331" s="19" t="n"/>
      <c r="E331" s="19" t="n"/>
      <c r="F331" s="20" t="n"/>
      <c r="G331" s="21" t="n"/>
      <c r="H331" s="20" t="n"/>
      <c r="I331" s="22">
        <f>IF(ISNUMBER(H331),H331,IF(AND(ISNUMBER(F331),ISNUMBER(G331)),CEILING(ROUND(F331*(1+G331),2),1000),""))</f>
        <v/>
      </c>
      <c r="J331" s="22">
        <f>IF(AND(ISNUMBER(I331),ISNUMBER(F331)),I331-F331,"")</f>
        <v/>
      </c>
      <c r="K331" s="23">
        <f>IF(AND(ISNUMBER(I331),ISNUMBER(F331)),IF(I331=0,"",(I331-F331)/I331),"")</f>
        <v/>
      </c>
      <c r="L331" s="22" t="n"/>
      <c r="M331" s="24">
        <f>IF(AND(ISNUMBER(I331),ISNUMBER(L331)),I331-L331,"")</f>
        <v/>
      </c>
      <c r="N331" s="25">
        <f>IF(AND(C331="",E331=""),"",IF(AND(H331&lt;&gt;"",NOT(ISNUMBER(H331))),"Cek Harga Manual",IF(AND(F331="-",NOT(ISNUMBER(H331))),"Isi Harga Manual",IF(F331="-","HPP akan dihapus",IF(AND(F331&lt;&gt;"",NOT(ISNUMBER(F331))),"Cek HPP",IF(AND(ISNUMBER(G331),OR(G331&lt;0,G331&gt;20)),"Cek Markup",IF(NOT(ISNUMBER(I331)),"Harga belum ada",IF(F331="","HPP kosong",IF(F331=0,"HPP 0, cek",IF(I331&lt;=F331,"RUGI / impas",IF(NOT(ISNUMBER(L331)),"Baru",IF(M331=0,"OK",IF(ABS(M331)&gt;=0.3*L331,"Berubah besar","Harga berubah")))))))))))))</f>
        <v/>
      </c>
      <c r="O331" s="18" t="n"/>
      <c r="P331" s="18" t="n"/>
      <c r="Q331" s="26" t="n"/>
    </row>
    <row r="332">
      <c r="A332" s="17" t="n"/>
      <c r="B332" s="18" t="n"/>
      <c r="C332" s="19" t="n"/>
      <c r="D332" s="19" t="n"/>
      <c r="E332" s="19" t="n"/>
      <c r="F332" s="20" t="n"/>
      <c r="G332" s="21" t="n"/>
      <c r="H332" s="20" t="n"/>
      <c r="I332" s="22">
        <f>IF(ISNUMBER(H332),H332,IF(AND(ISNUMBER(F332),ISNUMBER(G332)),CEILING(ROUND(F332*(1+G332),2),1000),""))</f>
        <v/>
      </c>
      <c r="J332" s="22">
        <f>IF(AND(ISNUMBER(I332),ISNUMBER(F332)),I332-F332,"")</f>
        <v/>
      </c>
      <c r="K332" s="23">
        <f>IF(AND(ISNUMBER(I332),ISNUMBER(F332)),IF(I332=0,"",(I332-F332)/I332),"")</f>
        <v/>
      </c>
      <c r="L332" s="22" t="n"/>
      <c r="M332" s="24">
        <f>IF(AND(ISNUMBER(I332),ISNUMBER(L332)),I332-L332,"")</f>
        <v/>
      </c>
      <c r="N332" s="25">
        <f>IF(AND(C332="",E332=""),"",IF(AND(H332&lt;&gt;"",NOT(ISNUMBER(H332))),"Cek Harga Manual",IF(AND(F332="-",NOT(ISNUMBER(H332))),"Isi Harga Manual",IF(F332="-","HPP akan dihapus",IF(AND(F332&lt;&gt;"",NOT(ISNUMBER(F332))),"Cek HPP",IF(AND(ISNUMBER(G332),OR(G332&lt;0,G332&gt;20)),"Cek Markup",IF(NOT(ISNUMBER(I332)),"Harga belum ada",IF(F332="","HPP kosong",IF(F332=0,"HPP 0, cek",IF(I332&lt;=F332,"RUGI / impas",IF(NOT(ISNUMBER(L332)),"Baru",IF(M332=0,"OK",IF(ABS(M332)&gt;=0.3*L332,"Berubah besar","Harga berubah")))))))))))))</f>
        <v/>
      </c>
      <c r="O332" s="18" t="n"/>
      <c r="P332" s="18" t="n"/>
      <c r="Q332" s="26" t="n"/>
    </row>
    <row r="333">
      <c r="A333" s="17" t="n"/>
      <c r="B333" s="18" t="n"/>
      <c r="C333" s="19" t="n"/>
      <c r="D333" s="19" t="n"/>
      <c r="E333" s="19" t="n"/>
      <c r="F333" s="20" t="n"/>
      <c r="G333" s="21" t="n"/>
      <c r="H333" s="20" t="n"/>
      <c r="I333" s="22">
        <f>IF(ISNUMBER(H333),H333,IF(AND(ISNUMBER(F333),ISNUMBER(G333)),CEILING(ROUND(F333*(1+G333),2),1000),""))</f>
        <v/>
      </c>
      <c r="J333" s="22">
        <f>IF(AND(ISNUMBER(I333),ISNUMBER(F333)),I333-F333,"")</f>
        <v/>
      </c>
      <c r="K333" s="23">
        <f>IF(AND(ISNUMBER(I333),ISNUMBER(F333)),IF(I333=0,"",(I333-F333)/I333),"")</f>
        <v/>
      </c>
      <c r="L333" s="22" t="n"/>
      <c r="M333" s="24">
        <f>IF(AND(ISNUMBER(I333),ISNUMBER(L333)),I333-L333,"")</f>
        <v/>
      </c>
      <c r="N333" s="25">
        <f>IF(AND(C333="",E333=""),"",IF(AND(H333&lt;&gt;"",NOT(ISNUMBER(H333))),"Cek Harga Manual",IF(AND(F333="-",NOT(ISNUMBER(H333))),"Isi Harga Manual",IF(F333="-","HPP akan dihapus",IF(AND(F333&lt;&gt;"",NOT(ISNUMBER(F333))),"Cek HPP",IF(AND(ISNUMBER(G333),OR(G333&lt;0,G333&gt;20)),"Cek Markup",IF(NOT(ISNUMBER(I333)),"Harga belum ada",IF(F333="","HPP kosong",IF(F333=0,"HPP 0, cek",IF(I333&lt;=F333,"RUGI / impas",IF(NOT(ISNUMBER(L333)),"Baru",IF(M333=0,"OK",IF(ABS(M333)&gt;=0.3*L333,"Berubah besar","Harga berubah")))))))))))))</f>
        <v/>
      </c>
      <c r="O333" s="18" t="n"/>
      <c r="P333" s="18" t="n"/>
      <c r="Q333" s="26" t="n"/>
    </row>
    <row r="334">
      <c r="A334" s="17" t="n"/>
      <c r="B334" s="18" t="n"/>
      <c r="C334" s="19" t="n"/>
      <c r="D334" s="19" t="n"/>
      <c r="E334" s="19" t="n"/>
      <c r="F334" s="20" t="n"/>
      <c r="G334" s="21" t="n"/>
      <c r="H334" s="20" t="n"/>
      <c r="I334" s="22">
        <f>IF(ISNUMBER(H334),H334,IF(AND(ISNUMBER(F334),ISNUMBER(G334)),CEILING(ROUND(F334*(1+G334),2),1000),""))</f>
        <v/>
      </c>
      <c r="J334" s="22">
        <f>IF(AND(ISNUMBER(I334),ISNUMBER(F334)),I334-F334,"")</f>
        <v/>
      </c>
      <c r="K334" s="23">
        <f>IF(AND(ISNUMBER(I334),ISNUMBER(F334)),IF(I334=0,"",(I334-F334)/I334),"")</f>
        <v/>
      </c>
      <c r="L334" s="22" t="n"/>
      <c r="M334" s="24">
        <f>IF(AND(ISNUMBER(I334),ISNUMBER(L334)),I334-L334,"")</f>
        <v/>
      </c>
      <c r="N334" s="25">
        <f>IF(AND(C334="",E334=""),"",IF(AND(H334&lt;&gt;"",NOT(ISNUMBER(H334))),"Cek Harga Manual",IF(AND(F334="-",NOT(ISNUMBER(H334))),"Isi Harga Manual",IF(F334="-","HPP akan dihapus",IF(AND(F334&lt;&gt;"",NOT(ISNUMBER(F334))),"Cek HPP",IF(AND(ISNUMBER(G334),OR(G334&lt;0,G334&gt;20)),"Cek Markup",IF(NOT(ISNUMBER(I334)),"Harga belum ada",IF(F334="","HPP kosong",IF(F334=0,"HPP 0, cek",IF(I334&lt;=F334,"RUGI / impas",IF(NOT(ISNUMBER(L334)),"Baru",IF(M334=0,"OK",IF(ABS(M334)&gt;=0.3*L334,"Berubah besar","Harga berubah")))))))))))))</f>
        <v/>
      </c>
      <c r="O334" s="18" t="n"/>
      <c r="P334" s="18" t="n"/>
      <c r="Q334" s="26" t="n"/>
    </row>
    <row r="335">
      <c r="A335" s="17" t="n"/>
      <c r="B335" s="18" t="n"/>
      <c r="C335" s="19" t="n"/>
      <c r="D335" s="19" t="n"/>
      <c r="E335" s="19" t="n"/>
      <c r="F335" s="20" t="n"/>
      <c r="G335" s="21" t="n"/>
      <c r="H335" s="20" t="n"/>
      <c r="I335" s="22">
        <f>IF(ISNUMBER(H335),H335,IF(AND(ISNUMBER(F335),ISNUMBER(G335)),CEILING(ROUND(F335*(1+G335),2),1000),""))</f>
        <v/>
      </c>
      <c r="J335" s="22">
        <f>IF(AND(ISNUMBER(I335),ISNUMBER(F335)),I335-F335,"")</f>
        <v/>
      </c>
      <c r="K335" s="23">
        <f>IF(AND(ISNUMBER(I335),ISNUMBER(F335)),IF(I335=0,"",(I335-F335)/I335),"")</f>
        <v/>
      </c>
      <c r="L335" s="22" t="n"/>
      <c r="M335" s="24">
        <f>IF(AND(ISNUMBER(I335),ISNUMBER(L335)),I335-L335,"")</f>
        <v/>
      </c>
      <c r="N335" s="25">
        <f>IF(AND(C335="",E335=""),"",IF(AND(H335&lt;&gt;"",NOT(ISNUMBER(H335))),"Cek Harga Manual",IF(AND(F335="-",NOT(ISNUMBER(H335))),"Isi Harga Manual",IF(F335="-","HPP akan dihapus",IF(AND(F335&lt;&gt;"",NOT(ISNUMBER(F335))),"Cek HPP",IF(AND(ISNUMBER(G335),OR(G335&lt;0,G335&gt;20)),"Cek Markup",IF(NOT(ISNUMBER(I335)),"Harga belum ada",IF(F335="","HPP kosong",IF(F335=0,"HPP 0, cek",IF(I335&lt;=F335,"RUGI / impas",IF(NOT(ISNUMBER(L335)),"Baru",IF(M335=0,"OK",IF(ABS(M335)&gt;=0.3*L335,"Berubah besar","Harga berubah")))))))))))))</f>
        <v/>
      </c>
      <c r="O335" s="18" t="n"/>
      <c r="P335" s="18" t="n"/>
      <c r="Q335" s="26" t="n"/>
    </row>
    <row r="336">
      <c r="A336" s="17" t="n"/>
      <c r="B336" s="18" t="n"/>
      <c r="C336" s="19" t="n"/>
      <c r="D336" s="19" t="n"/>
      <c r="E336" s="19" t="n"/>
      <c r="F336" s="20" t="n"/>
      <c r="G336" s="21" t="n"/>
      <c r="H336" s="20" t="n"/>
      <c r="I336" s="22">
        <f>IF(ISNUMBER(H336),H336,IF(AND(ISNUMBER(F336),ISNUMBER(G336)),CEILING(ROUND(F336*(1+G336),2),1000),""))</f>
        <v/>
      </c>
      <c r="J336" s="22">
        <f>IF(AND(ISNUMBER(I336),ISNUMBER(F336)),I336-F336,"")</f>
        <v/>
      </c>
      <c r="K336" s="23">
        <f>IF(AND(ISNUMBER(I336),ISNUMBER(F336)),IF(I336=0,"",(I336-F336)/I336),"")</f>
        <v/>
      </c>
      <c r="L336" s="22" t="n"/>
      <c r="M336" s="24">
        <f>IF(AND(ISNUMBER(I336),ISNUMBER(L336)),I336-L336,"")</f>
        <v/>
      </c>
      <c r="N336" s="25">
        <f>IF(AND(C336="",E336=""),"",IF(AND(H336&lt;&gt;"",NOT(ISNUMBER(H336))),"Cek Harga Manual",IF(AND(F336="-",NOT(ISNUMBER(H336))),"Isi Harga Manual",IF(F336="-","HPP akan dihapus",IF(AND(F336&lt;&gt;"",NOT(ISNUMBER(F336))),"Cek HPP",IF(AND(ISNUMBER(G336),OR(G336&lt;0,G336&gt;20)),"Cek Markup",IF(NOT(ISNUMBER(I336)),"Harga belum ada",IF(F336="","HPP kosong",IF(F336=0,"HPP 0, cek",IF(I336&lt;=F336,"RUGI / impas",IF(NOT(ISNUMBER(L336)),"Baru",IF(M336=0,"OK",IF(ABS(M336)&gt;=0.3*L336,"Berubah besar","Harga berubah")))))))))))))</f>
        <v/>
      </c>
      <c r="O336" s="18" t="n"/>
      <c r="P336" s="18" t="n"/>
      <c r="Q336" s="26" t="n"/>
    </row>
    <row r="337">
      <c r="A337" s="17" t="n"/>
      <c r="B337" s="18" t="n"/>
      <c r="C337" s="19" t="n"/>
      <c r="D337" s="19" t="n"/>
      <c r="E337" s="19" t="n"/>
      <c r="F337" s="20" t="n"/>
      <c r="G337" s="21" t="n"/>
      <c r="H337" s="20" t="n"/>
      <c r="I337" s="22">
        <f>IF(ISNUMBER(H337),H337,IF(AND(ISNUMBER(F337),ISNUMBER(G337)),CEILING(ROUND(F337*(1+G337),2),1000),""))</f>
        <v/>
      </c>
      <c r="J337" s="22">
        <f>IF(AND(ISNUMBER(I337),ISNUMBER(F337)),I337-F337,"")</f>
        <v/>
      </c>
      <c r="K337" s="23">
        <f>IF(AND(ISNUMBER(I337),ISNUMBER(F337)),IF(I337=0,"",(I337-F337)/I337),"")</f>
        <v/>
      </c>
      <c r="L337" s="22" t="n"/>
      <c r="M337" s="24">
        <f>IF(AND(ISNUMBER(I337),ISNUMBER(L337)),I337-L337,"")</f>
        <v/>
      </c>
      <c r="N337" s="25">
        <f>IF(AND(C337="",E337=""),"",IF(AND(H337&lt;&gt;"",NOT(ISNUMBER(H337))),"Cek Harga Manual",IF(AND(F337="-",NOT(ISNUMBER(H337))),"Isi Harga Manual",IF(F337="-","HPP akan dihapus",IF(AND(F337&lt;&gt;"",NOT(ISNUMBER(F337))),"Cek HPP",IF(AND(ISNUMBER(G337),OR(G337&lt;0,G337&gt;20)),"Cek Markup",IF(NOT(ISNUMBER(I337)),"Harga belum ada",IF(F337="","HPP kosong",IF(F337=0,"HPP 0, cek",IF(I337&lt;=F337,"RUGI / impas",IF(NOT(ISNUMBER(L337)),"Baru",IF(M337=0,"OK",IF(ABS(M337)&gt;=0.3*L337,"Berubah besar","Harga berubah")))))))))))))</f>
        <v/>
      </c>
      <c r="O337" s="18" t="n"/>
      <c r="P337" s="18" t="n"/>
      <c r="Q337" s="26" t="n"/>
    </row>
    <row r="338">
      <c r="A338" s="17" t="n"/>
      <c r="B338" s="18" t="n"/>
      <c r="C338" s="19" t="n"/>
      <c r="D338" s="19" t="n"/>
      <c r="E338" s="19" t="n"/>
      <c r="F338" s="20" t="n"/>
      <c r="G338" s="21" t="n"/>
      <c r="H338" s="20" t="n"/>
      <c r="I338" s="22">
        <f>IF(ISNUMBER(H338),H338,IF(AND(ISNUMBER(F338),ISNUMBER(G338)),CEILING(ROUND(F338*(1+G338),2),1000),""))</f>
        <v/>
      </c>
      <c r="J338" s="22">
        <f>IF(AND(ISNUMBER(I338),ISNUMBER(F338)),I338-F338,"")</f>
        <v/>
      </c>
      <c r="K338" s="23">
        <f>IF(AND(ISNUMBER(I338),ISNUMBER(F338)),IF(I338=0,"",(I338-F338)/I338),"")</f>
        <v/>
      </c>
      <c r="L338" s="22" t="n"/>
      <c r="M338" s="24">
        <f>IF(AND(ISNUMBER(I338),ISNUMBER(L338)),I338-L338,"")</f>
        <v/>
      </c>
      <c r="N338" s="25">
        <f>IF(AND(C338="",E338=""),"",IF(AND(H338&lt;&gt;"",NOT(ISNUMBER(H338))),"Cek Harga Manual",IF(AND(F338="-",NOT(ISNUMBER(H338))),"Isi Harga Manual",IF(F338="-","HPP akan dihapus",IF(AND(F338&lt;&gt;"",NOT(ISNUMBER(F338))),"Cek HPP",IF(AND(ISNUMBER(G338),OR(G338&lt;0,G338&gt;20)),"Cek Markup",IF(NOT(ISNUMBER(I338)),"Harga belum ada",IF(F338="","HPP kosong",IF(F338=0,"HPP 0, cek",IF(I338&lt;=F338,"RUGI / impas",IF(NOT(ISNUMBER(L338)),"Baru",IF(M338=0,"OK",IF(ABS(M338)&gt;=0.3*L338,"Berubah besar","Harga berubah")))))))))))))</f>
        <v/>
      </c>
      <c r="O338" s="18" t="n"/>
      <c r="P338" s="18" t="n"/>
      <c r="Q338" s="26" t="n"/>
    </row>
    <row r="339">
      <c r="A339" s="17" t="n"/>
      <c r="B339" s="18" t="n"/>
      <c r="C339" s="19" t="n"/>
      <c r="D339" s="19" t="n"/>
      <c r="E339" s="19" t="n"/>
      <c r="F339" s="20" t="n"/>
      <c r="G339" s="21" t="n"/>
      <c r="H339" s="20" t="n"/>
      <c r="I339" s="22">
        <f>IF(ISNUMBER(H339),H339,IF(AND(ISNUMBER(F339),ISNUMBER(G339)),CEILING(ROUND(F339*(1+G339),2),1000),""))</f>
        <v/>
      </c>
      <c r="J339" s="22">
        <f>IF(AND(ISNUMBER(I339),ISNUMBER(F339)),I339-F339,"")</f>
        <v/>
      </c>
      <c r="K339" s="23">
        <f>IF(AND(ISNUMBER(I339),ISNUMBER(F339)),IF(I339=0,"",(I339-F339)/I339),"")</f>
        <v/>
      </c>
      <c r="L339" s="22" t="n"/>
      <c r="M339" s="24">
        <f>IF(AND(ISNUMBER(I339),ISNUMBER(L339)),I339-L339,"")</f>
        <v/>
      </c>
      <c r="N339" s="25">
        <f>IF(AND(C339="",E339=""),"",IF(AND(H339&lt;&gt;"",NOT(ISNUMBER(H339))),"Cek Harga Manual",IF(AND(F339="-",NOT(ISNUMBER(H339))),"Isi Harga Manual",IF(F339="-","HPP akan dihapus",IF(AND(F339&lt;&gt;"",NOT(ISNUMBER(F339))),"Cek HPP",IF(AND(ISNUMBER(G339),OR(G339&lt;0,G339&gt;20)),"Cek Markup",IF(NOT(ISNUMBER(I339)),"Harga belum ada",IF(F339="","HPP kosong",IF(F339=0,"HPP 0, cek",IF(I339&lt;=F339,"RUGI / impas",IF(NOT(ISNUMBER(L339)),"Baru",IF(M339=0,"OK",IF(ABS(M339)&gt;=0.3*L339,"Berubah besar","Harga berubah")))))))))))))</f>
        <v/>
      </c>
      <c r="O339" s="18" t="n"/>
      <c r="P339" s="18" t="n"/>
      <c r="Q339" s="26" t="n"/>
    </row>
    <row r="340">
      <c r="A340" s="17" t="n"/>
      <c r="B340" s="18" t="n"/>
      <c r="C340" s="19" t="n"/>
      <c r="D340" s="19" t="n"/>
      <c r="E340" s="19" t="n"/>
      <c r="F340" s="20" t="n"/>
      <c r="G340" s="21" t="n"/>
      <c r="H340" s="20" t="n"/>
      <c r="I340" s="22">
        <f>IF(ISNUMBER(H340),H340,IF(AND(ISNUMBER(F340),ISNUMBER(G340)),CEILING(ROUND(F340*(1+G340),2),1000),""))</f>
        <v/>
      </c>
      <c r="J340" s="22">
        <f>IF(AND(ISNUMBER(I340),ISNUMBER(F340)),I340-F340,"")</f>
        <v/>
      </c>
      <c r="K340" s="23">
        <f>IF(AND(ISNUMBER(I340),ISNUMBER(F340)),IF(I340=0,"",(I340-F340)/I340),"")</f>
        <v/>
      </c>
      <c r="L340" s="22" t="n"/>
      <c r="M340" s="24">
        <f>IF(AND(ISNUMBER(I340),ISNUMBER(L340)),I340-L340,"")</f>
        <v/>
      </c>
      <c r="N340" s="25">
        <f>IF(AND(C340="",E340=""),"",IF(AND(H340&lt;&gt;"",NOT(ISNUMBER(H340))),"Cek Harga Manual",IF(AND(F340="-",NOT(ISNUMBER(H340))),"Isi Harga Manual",IF(F340="-","HPP akan dihapus",IF(AND(F340&lt;&gt;"",NOT(ISNUMBER(F340))),"Cek HPP",IF(AND(ISNUMBER(G340),OR(G340&lt;0,G340&gt;20)),"Cek Markup",IF(NOT(ISNUMBER(I340)),"Harga belum ada",IF(F340="","HPP kosong",IF(F340=0,"HPP 0, cek",IF(I340&lt;=F340,"RUGI / impas",IF(NOT(ISNUMBER(L340)),"Baru",IF(M340=0,"OK",IF(ABS(M340)&gt;=0.3*L340,"Berubah besar","Harga berubah")))))))))))))</f>
        <v/>
      </c>
      <c r="O340" s="18" t="n"/>
      <c r="P340" s="18" t="n"/>
      <c r="Q340" s="26" t="n"/>
    </row>
    <row r="341">
      <c r="A341" s="17" t="n"/>
      <c r="B341" s="18" t="n"/>
      <c r="C341" s="19" t="n"/>
      <c r="D341" s="19" t="n"/>
      <c r="E341" s="19" t="n"/>
      <c r="F341" s="20" t="n"/>
      <c r="G341" s="21" t="n"/>
      <c r="H341" s="20" t="n"/>
      <c r="I341" s="22">
        <f>IF(ISNUMBER(H341),H341,IF(AND(ISNUMBER(F341),ISNUMBER(G341)),CEILING(ROUND(F341*(1+G341),2),1000),""))</f>
        <v/>
      </c>
      <c r="J341" s="22">
        <f>IF(AND(ISNUMBER(I341),ISNUMBER(F341)),I341-F341,"")</f>
        <v/>
      </c>
      <c r="K341" s="23">
        <f>IF(AND(ISNUMBER(I341),ISNUMBER(F341)),IF(I341=0,"",(I341-F341)/I341),"")</f>
        <v/>
      </c>
      <c r="L341" s="22" t="n"/>
      <c r="M341" s="24">
        <f>IF(AND(ISNUMBER(I341),ISNUMBER(L341)),I341-L341,"")</f>
        <v/>
      </c>
      <c r="N341" s="25">
        <f>IF(AND(C341="",E341=""),"",IF(AND(H341&lt;&gt;"",NOT(ISNUMBER(H341))),"Cek Harga Manual",IF(AND(F341="-",NOT(ISNUMBER(H341))),"Isi Harga Manual",IF(F341="-","HPP akan dihapus",IF(AND(F341&lt;&gt;"",NOT(ISNUMBER(F341))),"Cek HPP",IF(AND(ISNUMBER(G341),OR(G341&lt;0,G341&gt;20)),"Cek Markup",IF(NOT(ISNUMBER(I341)),"Harga belum ada",IF(F341="","HPP kosong",IF(F341=0,"HPP 0, cek",IF(I341&lt;=F341,"RUGI / impas",IF(NOT(ISNUMBER(L341)),"Baru",IF(M341=0,"OK",IF(ABS(M341)&gt;=0.3*L341,"Berubah besar","Harga berubah")))))))))))))</f>
        <v/>
      </c>
      <c r="O341" s="18" t="n"/>
      <c r="P341" s="18" t="n"/>
      <c r="Q341" s="26" t="n"/>
    </row>
    <row r="342">
      <c r="A342" s="17" t="n"/>
      <c r="B342" s="18" t="n"/>
      <c r="C342" s="19" t="n"/>
      <c r="D342" s="19" t="n"/>
      <c r="E342" s="19" t="n"/>
      <c r="F342" s="20" t="n"/>
      <c r="G342" s="21" t="n"/>
      <c r="H342" s="20" t="n"/>
      <c r="I342" s="22">
        <f>IF(ISNUMBER(H342),H342,IF(AND(ISNUMBER(F342),ISNUMBER(G342)),CEILING(ROUND(F342*(1+G342),2),1000),""))</f>
        <v/>
      </c>
      <c r="J342" s="22">
        <f>IF(AND(ISNUMBER(I342),ISNUMBER(F342)),I342-F342,"")</f>
        <v/>
      </c>
      <c r="K342" s="23">
        <f>IF(AND(ISNUMBER(I342),ISNUMBER(F342)),IF(I342=0,"",(I342-F342)/I342),"")</f>
        <v/>
      </c>
      <c r="L342" s="22" t="n"/>
      <c r="M342" s="24">
        <f>IF(AND(ISNUMBER(I342),ISNUMBER(L342)),I342-L342,"")</f>
        <v/>
      </c>
      <c r="N342" s="25">
        <f>IF(AND(C342="",E342=""),"",IF(AND(H342&lt;&gt;"",NOT(ISNUMBER(H342))),"Cek Harga Manual",IF(AND(F342="-",NOT(ISNUMBER(H342))),"Isi Harga Manual",IF(F342="-","HPP akan dihapus",IF(AND(F342&lt;&gt;"",NOT(ISNUMBER(F342))),"Cek HPP",IF(AND(ISNUMBER(G342),OR(G342&lt;0,G342&gt;20)),"Cek Markup",IF(NOT(ISNUMBER(I342)),"Harga belum ada",IF(F342="","HPP kosong",IF(F342=0,"HPP 0, cek",IF(I342&lt;=F342,"RUGI / impas",IF(NOT(ISNUMBER(L342)),"Baru",IF(M342=0,"OK",IF(ABS(M342)&gt;=0.3*L342,"Berubah besar","Harga berubah")))))))))))))</f>
        <v/>
      </c>
      <c r="O342" s="18" t="n"/>
      <c r="P342" s="18" t="n"/>
      <c r="Q342" s="26" t="n"/>
    </row>
    <row r="343">
      <c r="A343" s="17" t="n"/>
      <c r="B343" s="18" t="n"/>
      <c r="C343" s="19" t="n"/>
      <c r="D343" s="19" t="n"/>
      <c r="E343" s="19" t="n"/>
      <c r="F343" s="20" t="n"/>
      <c r="G343" s="21" t="n"/>
      <c r="H343" s="20" t="n"/>
      <c r="I343" s="22">
        <f>IF(ISNUMBER(H343),H343,IF(AND(ISNUMBER(F343),ISNUMBER(G343)),CEILING(ROUND(F343*(1+G343),2),1000),""))</f>
        <v/>
      </c>
      <c r="J343" s="22">
        <f>IF(AND(ISNUMBER(I343),ISNUMBER(F343)),I343-F343,"")</f>
        <v/>
      </c>
      <c r="K343" s="23">
        <f>IF(AND(ISNUMBER(I343),ISNUMBER(F343)),IF(I343=0,"",(I343-F343)/I343),"")</f>
        <v/>
      </c>
      <c r="L343" s="22" t="n"/>
      <c r="M343" s="24">
        <f>IF(AND(ISNUMBER(I343),ISNUMBER(L343)),I343-L343,"")</f>
        <v/>
      </c>
      <c r="N343" s="25">
        <f>IF(AND(C343="",E343=""),"",IF(AND(H343&lt;&gt;"",NOT(ISNUMBER(H343))),"Cek Harga Manual",IF(AND(F343="-",NOT(ISNUMBER(H343))),"Isi Harga Manual",IF(F343="-","HPP akan dihapus",IF(AND(F343&lt;&gt;"",NOT(ISNUMBER(F343))),"Cek HPP",IF(AND(ISNUMBER(G343),OR(G343&lt;0,G343&gt;20)),"Cek Markup",IF(NOT(ISNUMBER(I343)),"Harga belum ada",IF(F343="","HPP kosong",IF(F343=0,"HPP 0, cek",IF(I343&lt;=F343,"RUGI / impas",IF(NOT(ISNUMBER(L343)),"Baru",IF(M343=0,"OK",IF(ABS(M343)&gt;=0.3*L343,"Berubah besar","Harga berubah")))))))))))))</f>
        <v/>
      </c>
      <c r="O343" s="18" t="n"/>
      <c r="P343" s="18" t="n"/>
      <c r="Q343" s="26" t="n"/>
    </row>
    <row r="344">
      <c r="A344" s="17" t="n"/>
      <c r="B344" s="18" t="n"/>
      <c r="C344" s="19" t="n"/>
      <c r="D344" s="19" t="n"/>
      <c r="E344" s="19" t="n"/>
      <c r="F344" s="20" t="n"/>
      <c r="G344" s="21" t="n"/>
      <c r="H344" s="20" t="n"/>
      <c r="I344" s="22">
        <f>IF(ISNUMBER(H344),H344,IF(AND(ISNUMBER(F344),ISNUMBER(G344)),CEILING(ROUND(F344*(1+G344),2),1000),""))</f>
        <v/>
      </c>
      <c r="J344" s="22">
        <f>IF(AND(ISNUMBER(I344),ISNUMBER(F344)),I344-F344,"")</f>
        <v/>
      </c>
      <c r="K344" s="23">
        <f>IF(AND(ISNUMBER(I344),ISNUMBER(F344)),IF(I344=0,"",(I344-F344)/I344),"")</f>
        <v/>
      </c>
      <c r="L344" s="22" t="n"/>
      <c r="M344" s="24">
        <f>IF(AND(ISNUMBER(I344),ISNUMBER(L344)),I344-L344,"")</f>
        <v/>
      </c>
      <c r="N344" s="25">
        <f>IF(AND(C344="",E344=""),"",IF(AND(H344&lt;&gt;"",NOT(ISNUMBER(H344))),"Cek Harga Manual",IF(AND(F344="-",NOT(ISNUMBER(H344))),"Isi Harga Manual",IF(F344="-","HPP akan dihapus",IF(AND(F344&lt;&gt;"",NOT(ISNUMBER(F344))),"Cek HPP",IF(AND(ISNUMBER(G344),OR(G344&lt;0,G344&gt;20)),"Cek Markup",IF(NOT(ISNUMBER(I344)),"Harga belum ada",IF(F344="","HPP kosong",IF(F344=0,"HPP 0, cek",IF(I344&lt;=F344,"RUGI / impas",IF(NOT(ISNUMBER(L344)),"Baru",IF(M344=0,"OK",IF(ABS(M344)&gt;=0.3*L344,"Berubah besar","Harga berubah")))))))))))))</f>
        <v/>
      </c>
      <c r="O344" s="18" t="n"/>
      <c r="P344" s="18" t="n"/>
      <c r="Q344" s="26" t="n"/>
    </row>
    <row r="345">
      <c r="A345" s="17" t="n"/>
      <c r="B345" s="18" t="n"/>
      <c r="C345" s="19" t="n"/>
      <c r="D345" s="19" t="n"/>
      <c r="E345" s="19" t="n"/>
      <c r="F345" s="20" t="n"/>
      <c r="G345" s="21" t="n"/>
      <c r="H345" s="20" t="n"/>
      <c r="I345" s="22">
        <f>IF(ISNUMBER(H345),H345,IF(AND(ISNUMBER(F345),ISNUMBER(G345)),CEILING(ROUND(F345*(1+G345),2),1000),""))</f>
        <v/>
      </c>
      <c r="J345" s="22">
        <f>IF(AND(ISNUMBER(I345),ISNUMBER(F345)),I345-F345,"")</f>
        <v/>
      </c>
      <c r="K345" s="23">
        <f>IF(AND(ISNUMBER(I345),ISNUMBER(F345)),IF(I345=0,"",(I345-F345)/I345),"")</f>
        <v/>
      </c>
      <c r="L345" s="22" t="n"/>
      <c r="M345" s="24">
        <f>IF(AND(ISNUMBER(I345),ISNUMBER(L345)),I345-L345,"")</f>
        <v/>
      </c>
      <c r="N345" s="25">
        <f>IF(AND(C345="",E345=""),"",IF(AND(H345&lt;&gt;"",NOT(ISNUMBER(H345))),"Cek Harga Manual",IF(AND(F345="-",NOT(ISNUMBER(H345))),"Isi Harga Manual",IF(F345="-","HPP akan dihapus",IF(AND(F345&lt;&gt;"",NOT(ISNUMBER(F345))),"Cek HPP",IF(AND(ISNUMBER(G345),OR(G345&lt;0,G345&gt;20)),"Cek Markup",IF(NOT(ISNUMBER(I345)),"Harga belum ada",IF(F345="","HPP kosong",IF(F345=0,"HPP 0, cek",IF(I345&lt;=F345,"RUGI / impas",IF(NOT(ISNUMBER(L345)),"Baru",IF(M345=0,"OK",IF(ABS(M345)&gt;=0.3*L345,"Berubah besar","Harga berubah")))))))))))))</f>
        <v/>
      </c>
      <c r="O345" s="18" t="n"/>
      <c r="P345" s="18" t="n"/>
      <c r="Q345" s="26" t="n"/>
    </row>
    <row r="346">
      <c r="A346" s="17" t="n"/>
      <c r="B346" s="18" t="n"/>
      <c r="C346" s="19" t="n"/>
      <c r="D346" s="19" t="n"/>
      <c r="E346" s="19" t="n"/>
      <c r="F346" s="20" t="n"/>
      <c r="G346" s="21" t="n"/>
      <c r="H346" s="20" t="n"/>
      <c r="I346" s="22">
        <f>IF(ISNUMBER(H346),H346,IF(AND(ISNUMBER(F346),ISNUMBER(G346)),CEILING(ROUND(F346*(1+G346),2),1000),""))</f>
        <v/>
      </c>
      <c r="J346" s="22">
        <f>IF(AND(ISNUMBER(I346),ISNUMBER(F346)),I346-F346,"")</f>
        <v/>
      </c>
      <c r="K346" s="23">
        <f>IF(AND(ISNUMBER(I346),ISNUMBER(F346)),IF(I346=0,"",(I346-F346)/I346),"")</f>
        <v/>
      </c>
      <c r="L346" s="22" t="n"/>
      <c r="M346" s="24">
        <f>IF(AND(ISNUMBER(I346),ISNUMBER(L346)),I346-L346,"")</f>
        <v/>
      </c>
      <c r="N346" s="25">
        <f>IF(AND(C346="",E346=""),"",IF(AND(H346&lt;&gt;"",NOT(ISNUMBER(H346))),"Cek Harga Manual",IF(AND(F346="-",NOT(ISNUMBER(H346))),"Isi Harga Manual",IF(F346="-","HPP akan dihapus",IF(AND(F346&lt;&gt;"",NOT(ISNUMBER(F346))),"Cek HPP",IF(AND(ISNUMBER(G346),OR(G346&lt;0,G346&gt;20)),"Cek Markup",IF(NOT(ISNUMBER(I346)),"Harga belum ada",IF(F346="","HPP kosong",IF(F346=0,"HPP 0, cek",IF(I346&lt;=F346,"RUGI / impas",IF(NOT(ISNUMBER(L346)),"Baru",IF(M346=0,"OK",IF(ABS(M346)&gt;=0.3*L346,"Berubah besar","Harga berubah")))))))))))))</f>
        <v/>
      </c>
      <c r="O346" s="18" t="n"/>
      <c r="P346" s="18" t="n"/>
      <c r="Q346" s="26" t="n"/>
    </row>
    <row r="347">
      <c r="A347" s="17" t="n"/>
      <c r="B347" s="18" t="n"/>
      <c r="C347" s="19" t="n"/>
      <c r="D347" s="19" t="n"/>
      <c r="E347" s="19" t="n"/>
      <c r="F347" s="20" t="n"/>
      <c r="G347" s="21" t="n"/>
      <c r="H347" s="20" t="n"/>
      <c r="I347" s="22">
        <f>IF(ISNUMBER(H347),H347,IF(AND(ISNUMBER(F347),ISNUMBER(G347)),CEILING(ROUND(F347*(1+G347),2),1000),""))</f>
        <v/>
      </c>
      <c r="J347" s="22">
        <f>IF(AND(ISNUMBER(I347),ISNUMBER(F347)),I347-F347,"")</f>
        <v/>
      </c>
      <c r="K347" s="23">
        <f>IF(AND(ISNUMBER(I347),ISNUMBER(F347)),IF(I347=0,"",(I347-F347)/I347),"")</f>
        <v/>
      </c>
      <c r="L347" s="22" t="n"/>
      <c r="M347" s="24">
        <f>IF(AND(ISNUMBER(I347),ISNUMBER(L347)),I347-L347,"")</f>
        <v/>
      </c>
      <c r="N347" s="25">
        <f>IF(AND(C347="",E347=""),"",IF(AND(H347&lt;&gt;"",NOT(ISNUMBER(H347))),"Cek Harga Manual",IF(AND(F347="-",NOT(ISNUMBER(H347))),"Isi Harga Manual",IF(F347="-","HPP akan dihapus",IF(AND(F347&lt;&gt;"",NOT(ISNUMBER(F347))),"Cek HPP",IF(AND(ISNUMBER(G347),OR(G347&lt;0,G347&gt;20)),"Cek Markup",IF(NOT(ISNUMBER(I347)),"Harga belum ada",IF(F347="","HPP kosong",IF(F347=0,"HPP 0, cek",IF(I347&lt;=F347,"RUGI / impas",IF(NOT(ISNUMBER(L347)),"Baru",IF(M347=0,"OK",IF(ABS(M347)&gt;=0.3*L347,"Berubah besar","Harga berubah")))))))))))))</f>
        <v/>
      </c>
      <c r="O347" s="18" t="n"/>
      <c r="P347" s="18" t="n"/>
      <c r="Q347" s="26" t="n"/>
    </row>
    <row r="348">
      <c r="A348" s="17" t="n"/>
      <c r="B348" s="18" t="n"/>
      <c r="C348" s="19" t="n"/>
      <c r="D348" s="19" t="n"/>
      <c r="E348" s="19" t="n"/>
      <c r="F348" s="20" t="n"/>
      <c r="G348" s="21" t="n"/>
      <c r="H348" s="20" t="n"/>
      <c r="I348" s="22">
        <f>IF(ISNUMBER(H348),H348,IF(AND(ISNUMBER(F348),ISNUMBER(G348)),CEILING(ROUND(F348*(1+G348),2),1000),""))</f>
        <v/>
      </c>
      <c r="J348" s="22">
        <f>IF(AND(ISNUMBER(I348),ISNUMBER(F348)),I348-F348,"")</f>
        <v/>
      </c>
      <c r="K348" s="23">
        <f>IF(AND(ISNUMBER(I348),ISNUMBER(F348)),IF(I348=0,"",(I348-F348)/I348),"")</f>
        <v/>
      </c>
      <c r="L348" s="22" t="n"/>
      <c r="M348" s="24">
        <f>IF(AND(ISNUMBER(I348),ISNUMBER(L348)),I348-L348,"")</f>
        <v/>
      </c>
      <c r="N348" s="25">
        <f>IF(AND(C348="",E348=""),"",IF(AND(H348&lt;&gt;"",NOT(ISNUMBER(H348))),"Cek Harga Manual",IF(AND(F348="-",NOT(ISNUMBER(H348))),"Isi Harga Manual",IF(F348="-","HPP akan dihapus",IF(AND(F348&lt;&gt;"",NOT(ISNUMBER(F348))),"Cek HPP",IF(AND(ISNUMBER(G348),OR(G348&lt;0,G348&gt;20)),"Cek Markup",IF(NOT(ISNUMBER(I348)),"Harga belum ada",IF(F348="","HPP kosong",IF(F348=0,"HPP 0, cek",IF(I348&lt;=F348,"RUGI / impas",IF(NOT(ISNUMBER(L348)),"Baru",IF(M348=0,"OK",IF(ABS(M348)&gt;=0.3*L348,"Berubah besar","Harga berubah")))))))))))))</f>
        <v/>
      </c>
      <c r="O348" s="18" t="n"/>
      <c r="P348" s="18" t="n"/>
      <c r="Q348" s="26" t="n"/>
    </row>
    <row r="349">
      <c r="A349" s="17" t="n"/>
      <c r="B349" s="18" t="n"/>
      <c r="C349" s="19" t="n"/>
      <c r="D349" s="19" t="n"/>
      <c r="E349" s="19" t="n"/>
      <c r="F349" s="20" t="n"/>
      <c r="G349" s="21" t="n"/>
      <c r="H349" s="20" t="n"/>
      <c r="I349" s="22">
        <f>IF(ISNUMBER(H349),H349,IF(AND(ISNUMBER(F349),ISNUMBER(G349)),CEILING(ROUND(F349*(1+G349),2),1000),""))</f>
        <v/>
      </c>
      <c r="J349" s="22">
        <f>IF(AND(ISNUMBER(I349),ISNUMBER(F349)),I349-F349,"")</f>
        <v/>
      </c>
      <c r="K349" s="23">
        <f>IF(AND(ISNUMBER(I349),ISNUMBER(F349)),IF(I349=0,"",(I349-F349)/I349),"")</f>
        <v/>
      </c>
      <c r="L349" s="22" t="n"/>
      <c r="M349" s="24">
        <f>IF(AND(ISNUMBER(I349),ISNUMBER(L349)),I349-L349,"")</f>
        <v/>
      </c>
      <c r="N349" s="25">
        <f>IF(AND(C349="",E349=""),"",IF(AND(H349&lt;&gt;"",NOT(ISNUMBER(H349))),"Cek Harga Manual",IF(AND(F349="-",NOT(ISNUMBER(H349))),"Isi Harga Manual",IF(F349="-","HPP akan dihapus",IF(AND(F349&lt;&gt;"",NOT(ISNUMBER(F349))),"Cek HPP",IF(AND(ISNUMBER(G349),OR(G349&lt;0,G349&gt;20)),"Cek Markup",IF(NOT(ISNUMBER(I349)),"Harga belum ada",IF(F349="","HPP kosong",IF(F349=0,"HPP 0, cek",IF(I349&lt;=F349,"RUGI / impas",IF(NOT(ISNUMBER(L349)),"Baru",IF(M349=0,"OK",IF(ABS(M349)&gt;=0.3*L349,"Berubah besar","Harga berubah")))))))))))))</f>
        <v/>
      </c>
      <c r="O349" s="18" t="n"/>
      <c r="P349" s="18" t="n"/>
      <c r="Q349" s="26" t="n"/>
    </row>
    <row r="350">
      <c r="A350" s="17" t="n"/>
      <c r="B350" s="18" t="n"/>
      <c r="C350" s="19" t="n"/>
      <c r="D350" s="19" t="n"/>
      <c r="E350" s="19" t="n"/>
      <c r="F350" s="20" t="n"/>
      <c r="G350" s="21" t="n"/>
      <c r="H350" s="20" t="n"/>
      <c r="I350" s="22">
        <f>IF(ISNUMBER(H350),H350,IF(AND(ISNUMBER(F350),ISNUMBER(G350)),CEILING(ROUND(F350*(1+G350),2),1000),""))</f>
        <v/>
      </c>
      <c r="J350" s="22">
        <f>IF(AND(ISNUMBER(I350),ISNUMBER(F350)),I350-F350,"")</f>
        <v/>
      </c>
      <c r="K350" s="23">
        <f>IF(AND(ISNUMBER(I350),ISNUMBER(F350)),IF(I350=0,"",(I350-F350)/I350),"")</f>
        <v/>
      </c>
      <c r="L350" s="22" t="n"/>
      <c r="M350" s="24">
        <f>IF(AND(ISNUMBER(I350),ISNUMBER(L350)),I350-L350,"")</f>
        <v/>
      </c>
      <c r="N350" s="25">
        <f>IF(AND(C350="",E350=""),"",IF(AND(H350&lt;&gt;"",NOT(ISNUMBER(H350))),"Cek Harga Manual",IF(AND(F350="-",NOT(ISNUMBER(H350))),"Isi Harga Manual",IF(F350="-","HPP akan dihapus",IF(AND(F350&lt;&gt;"",NOT(ISNUMBER(F350))),"Cek HPP",IF(AND(ISNUMBER(G350),OR(G350&lt;0,G350&gt;20)),"Cek Markup",IF(NOT(ISNUMBER(I350)),"Harga belum ada",IF(F350="","HPP kosong",IF(F350=0,"HPP 0, cek",IF(I350&lt;=F350,"RUGI / impas",IF(NOT(ISNUMBER(L350)),"Baru",IF(M350=0,"OK",IF(ABS(M350)&gt;=0.3*L350,"Berubah besar","Harga berubah")))))))))))))</f>
        <v/>
      </c>
      <c r="O350" s="18" t="n"/>
      <c r="P350" s="18" t="n"/>
      <c r="Q350" s="26" t="n"/>
    </row>
    <row r="351">
      <c r="A351" s="17" t="n"/>
      <c r="B351" s="18" t="n"/>
      <c r="C351" s="19" t="n"/>
      <c r="D351" s="19" t="n"/>
      <c r="E351" s="19" t="n"/>
      <c r="F351" s="20" t="n"/>
      <c r="G351" s="21" t="n"/>
      <c r="H351" s="20" t="n"/>
      <c r="I351" s="22">
        <f>IF(ISNUMBER(H351),H351,IF(AND(ISNUMBER(F351),ISNUMBER(G351)),CEILING(ROUND(F351*(1+G351),2),1000),""))</f>
        <v/>
      </c>
      <c r="J351" s="22">
        <f>IF(AND(ISNUMBER(I351),ISNUMBER(F351)),I351-F351,"")</f>
        <v/>
      </c>
      <c r="K351" s="23">
        <f>IF(AND(ISNUMBER(I351),ISNUMBER(F351)),IF(I351=0,"",(I351-F351)/I351),"")</f>
        <v/>
      </c>
      <c r="L351" s="22" t="n"/>
      <c r="M351" s="24">
        <f>IF(AND(ISNUMBER(I351),ISNUMBER(L351)),I351-L351,"")</f>
        <v/>
      </c>
      <c r="N351" s="25">
        <f>IF(AND(C351="",E351=""),"",IF(AND(H351&lt;&gt;"",NOT(ISNUMBER(H351))),"Cek Harga Manual",IF(AND(F351="-",NOT(ISNUMBER(H351))),"Isi Harga Manual",IF(F351="-","HPP akan dihapus",IF(AND(F351&lt;&gt;"",NOT(ISNUMBER(F351))),"Cek HPP",IF(AND(ISNUMBER(G351),OR(G351&lt;0,G351&gt;20)),"Cek Markup",IF(NOT(ISNUMBER(I351)),"Harga belum ada",IF(F351="","HPP kosong",IF(F351=0,"HPP 0, cek",IF(I351&lt;=F351,"RUGI / impas",IF(NOT(ISNUMBER(L351)),"Baru",IF(M351=0,"OK",IF(ABS(M351)&gt;=0.3*L351,"Berubah besar","Harga berubah")))))))))))))</f>
        <v/>
      </c>
      <c r="O351" s="18" t="n"/>
      <c r="P351" s="18" t="n"/>
      <c r="Q351" s="26" t="n"/>
    </row>
    <row r="352">
      <c r="A352" s="17" t="n"/>
      <c r="B352" s="18" t="n"/>
      <c r="C352" s="19" t="n"/>
      <c r="D352" s="19" t="n"/>
      <c r="E352" s="19" t="n"/>
      <c r="F352" s="20" t="n"/>
      <c r="G352" s="21" t="n"/>
      <c r="H352" s="20" t="n"/>
      <c r="I352" s="22">
        <f>IF(ISNUMBER(H352),H352,IF(AND(ISNUMBER(F352),ISNUMBER(G352)),CEILING(ROUND(F352*(1+G352),2),1000),""))</f>
        <v/>
      </c>
      <c r="J352" s="22">
        <f>IF(AND(ISNUMBER(I352),ISNUMBER(F352)),I352-F352,"")</f>
        <v/>
      </c>
      <c r="K352" s="23">
        <f>IF(AND(ISNUMBER(I352),ISNUMBER(F352)),IF(I352=0,"",(I352-F352)/I352),"")</f>
        <v/>
      </c>
      <c r="L352" s="22" t="n"/>
      <c r="M352" s="24">
        <f>IF(AND(ISNUMBER(I352),ISNUMBER(L352)),I352-L352,"")</f>
        <v/>
      </c>
      <c r="N352" s="25">
        <f>IF(AND(C352="",E352=""),"",IF(AND(H352&lt;&gt;"",NOT(ISNUMBER(H352))),"Cek Harga Manual",IF(AND(F352="-",NOT(ISNUMBER(H352))),"Isi Harga Manual",IF(F352="-","HPP akan dihapus",IF(AND(F352&lt;&gt;"",NOT(ISNUMBER(F352))),"Cek HPP",IF(AND(ISNUMBER(G352),OR(G352&lt;0,G352&gt;20)),"Cek Markup",IF(NOT(ISNUMBER(I352)),"Harga belum ada",IF(F352="","HPP kosong",IF(F352=0,"HPP 0, cek",IF(I352&lt;=F352,"RUGI / impas",IF(NOT(ISNUMBER(L352)),"Baru",IF(M352=0,"OK",IF(ABS(M352)&gt;=0.3*L352,"Berubah besar","Harga berubah")))))))))))))</f>
        <v/>
      </c>
      <c r="O352" s="18" t="n"/>
      <c r="P352" s="18" t="n"/>
      <c r="Q352" s="26" t="n"/>
    </row>
    <row r="353">
      <c r="A353" s="17" t="n"/>
      <c r="B353" s="18" t="n"/>
      <c r="C353" s="19" t="n"/>
      <c r="D353" s="19" t="n"/>
      <c r="E353" s="19" t="n"/>
      <c r="F353" s="20" t="n"/>
      <c r="G353" s="21" t="n"/>
      <c r="H353" s="20" t="n"/>
      <c r="I353" s="22">
        <f>IF(ISNUMBER(H353),H353,IF(AND(ISNUMBER(F353),ISNUMBER(G353)),CEILING(ROUND(F353*(1+G353),2),1000),""))</f>
        <v/>
      </c>
      <c r="J353" s="22">
        <f>IF(AND(ISNUMBER(I353),ISNUMBER(F353)),I353-F353,"")</f>
        <v/>
      </c>
      <c r="K353" s="23">
        <f>IF(AND(ISNUMBER(I353),ISNUMBER(F353)),IF(I353=0,"",(I353-F353)/I353),"")</f>
        <v/>
      </c>
      <c r="L353" s="22" t="n"/>
      <c r="M353" s="24">
        <f>IF(AND(ISNUMBER(I353),ISNUMBER(L353)),I353-L353,"")</f>
        <v/>
      </c>
      <c r="N353" s="25">
        <f>IF(AND(C353="",E353=""),"",IF(AND(H353&lt;&gt;"",NOT(ISNUMBER(H353))),"Cek Harga Manual",IF(AND(F353="-",NOT(ISNUMBER(H353))),"Isi Harga Manual",IF(F353="-","HPP akan dihapus",IF(AND(F353&lt;&gt;"",NOT(ISNUMBER(F353))),"Cek HPP",IF(AND(ISNUMBER(G353),OR(G353&lt;0,G353&gt;20)),"Cek Markup",IF(NOT(ISNUMBER(I353)),"Harga belum ada",IF(F353="","HPP kosong",IF(F353=0,"HPP 0, cek",IF(I353&lt;=F353,"RUGI / impas",IF(NOT(ISNUMBER(L353)),"Baru",IF(M353=0,"OK",IF(ABS(M353)&gt;=0.3*L353,"Berubah besar","Harga berubah")))))))))))))</f>
        <v/>
      </c>
      <c r="O353" s="18" t="n"/>
      <c r="P353" s="18" t="n"/>
      <c r="Q353" s="26" t="n"/>
    </row>
    <row r="354">
      <c r="A354" s="17" t="n"/>
      <c r="B354" s="18" t="n"/>
      <c r="C354" s="19" t="n"/>
      <c r="D354" s="19" t="n"/>
      <c r="E354" s="19" t="n"/>
      <c r="F354" s="20" t="n"/>
      <c r="G354" s="21" t="n"/>
      <c r="H354" s="20" t="n"/>
      <c r="I354" s="22">
        <f>IF(ISNUMBER(H354),H354,IF(AND(ISNUMBER(F354),ISNUMBER(G354)),CEILING(ROUND(F354*(1+G354),2),1000),""))</f>
        <v/>
      </c>
      <c r="J354" s="22">
        <f>IF(AND(ISNUMBER(I354),ISNUMBER(F354)),I354-F354,"")</f>
        <v/>
      </c>
      <c r="K354" s="23">
        <f>IF(AND(ISNUMBER(I354),ISNUMBER(F354)),IF(I354=0,"",(I354-F354)/I354),"")</f>
        <v/>
      </c>
      <c r="L354" s="22" t="n"/>
      <c r="M354" s="24">
        <f>IF(AND(ISNUMBER(I354),ISNUMBER(L354)),I354-L354,"")</f>
        <v/>
      </c>
      <c r="N354" s="25">
        <f>IF(AND(C354="",E354=""),"",IF(AND(H354&lt;&gt;"",NOT(ISNUMBER(H354))),"Cek Harga Manual",IF(AND(F354="-",NOT(ISNUMBER(H354))),"Isi Harga Manual",IF(F354="-","HPP akan dihapus",IF(AND(F354&lt;&gt;"",NOT(ISNUMBER(F354))),"Cek HPP",IF(AND(ISNUMBER(G354),OR(G354&lt;0,G354&gt;20)),"Cek Markup",IF(NOT(ISNUMBER(I354)),"Harga belum ada",IF(F354="","HPP kosong",IF(F354=0,"HPP 0, cek",IF(I354&lt;=F354,"RUGI / impas",IF(NOT(ISNUMBER(L354)),"Baru",IF(M354=0,"OK",IF(ABS(M354)&gt;=0.3*L354,"Berubah besar","Harga berubah")))))))))))))</f>
        <v/>
      </c>
      <c r="O354" s="18" t="n"/>
      <c r="P354" s="18" t="n"/>
      <c r="Q354" s="26" t="n"/>
    </row>
    <row r="355">
      <c r="A355" s="17" t="n"/>
      <c r="B355" s="18" t="n"/>
      <c r="C355" s="19" t="n"/>
      <c r="D355" s="19" t="n"/>
      <c r="E355" s="19" t="n"/>
      <c r="F355" s="20" t="n"/>
      <c r="G355" s="21" t="n"/>
      <c r="H355" s="20" t="n"/>
      <c r="I355" s="22">
        <f>IF(ISNUMBER(H355),H355,IF(AND(ISNUMBER(F355),ISNUMBER(G355)),CEILING(ROUND(F355*(1+G355),2),1000),""))</f>
        <v/>
      </c>
      <c r="J355" s="22">
        <f>IF(AND(ISNUMBER(I355),ISNUMBER(F355)),I355-F355,"")</f>
        <v/>
      </c>
      <c r="K355" s="23">
        <f>IF(AND(ISNUMBER(I355),ISNUMBER(F355)),IF(I355=0,"",(I355-F355)/I355),"")</f>
        <v/>
      </c>
      <c r="L355" s="22" t="n"/>
      <c r="M355" s="24">
        <f>IF(AND(ISNUMBER(I355),ISNUMBER(L355)),I355-L355,"")</f>
        <v/>
      </c>
      <c r="N355" s="25">
        <f>IF(AND(C355="",E355=""),"",IF(AND(H355&lt;&gt;"",NOT(ISNUMBER(H355))),"Cek Harga Manual",IF(AND(F355="-",NOT(ISNUMBER(H355))),"Isi Harga Manual",IF(F355="-","HPP akan dihapus",IF(AND(F355&lt;&gt;"",NOT(ISNUMBER(F355))),"Cek HPP",IF(AND(ISNUMBER(G355),OR(G355&lt;0,G355&gt;20)),"Cek Markup",IF(NOT(ISNUMBER(I355)),"Harga belum ada",IF(F355="","HPP kosong",IF(F355=0,"HPP 0, cek",IF(I355&lt;=F355,"RUGI / impas",IF(NOT(ISNUMBER(L355)),"Baru",IF(M355=0,"OK",IF(ABS(M355)&gt;=0.3*L355,"Berubah besar","Harga berubah")))))))))))))</f>
        <v/>
      </c>
      <c r="O355" s="18" t="n"/>
      <c r="P355" s="18" t="n"/>
      <c r="Q355" s="26" t="n"/>
    </row>
    <row r="356">
      <c r="A356" s="17" t="n"/>
      <c r="B356" s="18" t="n"/>
      <c r="C356" s="19" t="n"/>
      <c r="D356" s="19" t="n"/>
      <c r="E356" s="19" t="n"/>
      <c r="F356" s="20" t="n"/>
      <c r="G356" s="21" t="n"/>
      <c r="H356" s="20" t="n"/>
      <c r="I356" s="22">
        <f>IF(ISNUMBER(H356),H356,IF(AND(ISNUMBER(F356),ISNUMBER(G356)),CEILING(ROUND(F356*(1+G356),2),1000),""))</f>
        <v/>
      </c>
      <c r="J356" s="22">
        <f>IF(AND(ISNUMBER(I356),ISNUMBER(F356)),I356-F356,"")</f>
        <v/>
      </c>
      <c r="K356" s="23">
        <f>IF(AND(ISNUMBER(I356),ISNUMBER(F356)),IF(I356=0,"",(I356-F356)/I356),"")</f>
        <v/>
      </c>
      <c r="L356" s="22" t="n"/>
      <c r="M356" s="24">
        <f>IF(AND(ISNUMBER(I356),ISNUMBER(L356)),I356-L356,"")</f>
        <v/>
      </c>
      <c r="N356" s="25">
        <f>IF(AND(C356="",E356=""),"",IF(AND(H356&lt;&gt;"",NOT(ISNUMBER(H356))),"Cek Harga Manual",IF(AND(F356="-",NOT(ISNUMBER(H356))),"Isi Harga Manual",IF(F356="-","HPP akan dihapus",IF(AND(F356&lt;&gt;"",NOT(ISNUMBER(F356))),"Cek HPP",IF(AND(ISNUMBER(G356),OR(G356&lt;0,G356&gt;20)),"Cek Markup",IF(NOT(ISNUMBER(I356)),"Harga belum ada",IF(F356="","HPP kosong",IF(F356=0,"HPP 0, cek",IF(I356&lt;=F356,"RUGI / impas",IF(NOT(ISNUMBER(L356)),"Baru",IF(M356=0,"OK",IF(ABS(M356)&gt;=0.3*L356,"Berubah besar","Harga berubah")))))))))))))</f>
        <v/>
      </c>
      <c r="O356" s="18" t="n"/>
      <c r="P356" s="18" t="n"/>
      <c r="Q356" s="26" t="n"/>
    </row>
    <row r="357">
      <c r="A357" s="17" t="n"/>
      <c r="B357" s="18" t="n"/>
      <c r="C357" s="19" t="n"/>
      <c r="D357" s="19" t="n"/>
      <c r="E357" s="19" t="n"/>
      <c r="F357" s="20" t="n"/>
      <c r="G357" s="21" t="n"/>
      <c r="H357" s="20" t="n"/>
      <c r="I357" s="22">
        <f>IF(ISNUMBER(H357),H357,IF(AND(ISNUMBER(F357),ISNUMBER(G357)),CEILING(ROUND(F357*(1+G357),2),1000),""))</f>
        <v/>
      </c>
      <c r="J357" s="22">
        <f>IF(AND(ISNUMBER(I357),ISNUMBER(F357)),I357-F357,"")</f>
        <v/>
      </c>
      <c r="K357" s="23">
        <f>IF(AND(ISNUMBER(I357),ISNUMBER(F357)),IF(I357=0,"",(I357-F357)/I357),"")</f>
        <v/>
      </c>
      <c r="L357" s="22" t="n"/>
      <c r="M357" s="24">
        <f>IF(AND(ISNUMBER(I357),ISNUMBER(L357)),I357-L357,"")</f>
        <v/>
      </c>
      <c r="N357" s="25">
        <f>IF(AND(C357="",E357=""),"",IF(AND(H357&lt;&gt;"",NOT(ISNUMBER(H357))),"Cek Harga Manual",IF(AND(F357="-",NOT(ISNUMBER(H357))),"Isi Harga Manual",IF(F357="-","HPP akan dihapus",IF(AND(F357&lt;&gt;"",NOT(ISNUMBER(F357))),"Cek HPP",IF(AND(ISNUMBER(G357),OR(G357&lt;0,G357&gt;20)),"Cek Markup",IF(NOT(ISNUMBER(I357)),"Harga belum ada",IF(F357="","HPP kosong",IF(F357=0,"HPP 0, cek",IF(I357&lt;=F357,"RUGI / impas",IF(NOT(ISNUMBER(L357)),"Baru",IF(M357=0,"OK",IF(ABS(M357)&gt;=0.3*L357,"Berubah besar","Harga berubah")))))))))))))</f>
        <v/>
      </c>
      <c r="O357" s="18" t="n"/>
      <c r="P357" s="18" t="n"/>
      <c r="Q357" s="26" t="n"/>
    </row>
    <row r="358">
      <c r="A358" s="17" t="n"/>
      <c r="B358" s="18" t="n"/>
      <c r="C358" s="19" t="n"/>
      <c r="D358" s="19" t="n"/>
      <c r="E358" s="19" t="n"/>
      <c r="F358" s="20" t="n"/>
      <c r="G358" s="21" t="n"/>
      <c r="H358" s="20" t="n"/>
      <c r="I358" s="22">
        <f>IF(ISNUMBER(H358),H358,IF(AND(ISNUMBER(F358),ISNUMBER(G358)),CEILING(ROUND(F358*(1+G358),2),1000),""))</f>
        <v/>
      </c>
      <c r="J358" s="22">
        <f>IF(AND(ISNUMBER(I358),ISNUMBER(F358)),I358-F358,"")</f>
        <v/>
      </c>
      <c r="K358" s="23">
        <f>IF(AND(ISNUMBER(I358),ISNUMBER(F358)),IF(I358=0,"",(I358-F358)/I358),"")</f>
        <v/>
      </c>
      <c r="L358" s="22" t="n"/>
      <c r="M358" s="24">
        <f>IF(AND(ISNUMBER(I358),ISNUMBER(L358)),I358-L358,"")</f>
        <v/>
      </c>
      <c r="N358" s="25">
        <f>IF(AND(C358="",E358=""),"",IF(AND(H358&lt;&gt;"",NOT(ISNUMBER(H358))),"Cek Harga Manual",IF(AND(F358="-",NOT(ISNUMBER(H358))),"Isi Harga Manual",IF(F358="-","HPP akan dihapus",IF(AND(F358&lt;&gt;"",NOT(ISNUMBER(F358))),"Cek HPP",IF(AND(ISNUMBER(G358),OR(G358&lt;0,G358&gt;20)),"Cek Markup",IF(NOT(ISNUMBER(I358)),"Harga belum ada",IF(F358="","HPP kosong",IF(F358=0,"HPP 0, cek",IF(I358&lt;=F358,"RUGI / impas",IF(NOT(ISNUMBER(L358)),"Baru",IF(M358=0,"OK",IF(ABS(M358)&gt;=0.3*L358,"Berubah besar","Harga berubah")))))))))))))</f>
        <v/>
      </c>
      <c r="O358" s="18" t="n"/>
      <c r="P358" s="18" t="n"/>
      <c r="Q358" s="26" t="n"/>
    </row>
    <row r="359">
      <c r="A359" s="17" t="n"/>
      <c r="B359" s="18" t="n"/>
      <c r="C359" s="19" t="n"/>
      <c r="D359" s="19" t="n"/>
      <c r="E359" s="19" t="n"/>
      <c r="F359" s="20" t="n"/>
      <c r="G359" s="21" t="n"/>
      <c r="H359" s="20" t="n"/>
      <c r="I359" s="22">
        <f>IF(ISNUMBER(H359),H359,IF(AND(ISNUMBER(F359),ISNUMBER(G359)),CEILING(ROUND(F359*(1+G359),2),1000),""))</f>
        <v/>
      </c>
      <c r="J359" s="22">
        <f>IF(AND(ISNUMBER(I359),ISNUMBER(F359)),I359-F359,"")</f>
        <v/>
      </c>
      <c r="K359" s="23">
        <f>IF(AND(ISNUMBER(I359),ISNUMBER(F359)),IF(I359=0,"",(I359-F359)/I359),"")</f>
        <v/>
      </c>
      <c r="L359" s="22" t="n"/>
      <c r="M359" s="24">
        <f>IF(AND(ISNUMBER(I359),ISNUMBER(L359)),I359-L359,"")</f>
        <v/>
      </c>
      <c r="N359" s="25">
        <f>IF(AND(C359="",E359=""),"",IF(AND(H359&lt;&gt;"",NOT(ISNUMBER(H359))),"Cek Harga Manual",IF(AND(F359="-",NOT(ISNUMBER(H359))),"Isi Harga Manual",IF(F359="-","HPP akan dihapus",IF(AND(F359&lt;&gt;"",NOT(ISNUMBER(F359))),"Cek HPP",IF(AND(ISNUMBER(G359),OR(G359&lt;0,G359&gt;20)),"Cek Markup",IF(NOT(ISNUMBER(I359)),"Harga belum ada",IF(F359="","HPP kosong",IF(F359=0,"HPP 0, cek",IF(I359&lt;=F359,"RUGI / impas",IF(NOT(ISNUMBER(L359)),"Baru",IF(M359=0,"OK",IF(ABS(M359)&gt;=0.3*L359,"Berubah besar","Harga berubah")))))))))))))</f>
        <v/>
      </c>
      <c r="O359" s="18" t="n"/>
      <c r="P359" s="18" t="n"/>
      <c r="Q359" s="26" t="n"/>
    </row>
    <row r="360">
      <c r="A360" s="17" t="n"/>
      <c r="B360" s="18" t="n"/>
      <c r="C360" s="19" t="n"/>
      <c r="D360" s="19" t="n"/>
      <c r="E360" s="19" t="n"/>
      <c r="F360" s="20" t="n"/>
      <c r="G360" s="21" t="n"/>
      <c r="H360" s="20" t="n"/>
      <c r="I360" s="22">
        <f>IF(ISNUMBER(H360),H360,IF(AND(ISNUMBER(F360),ISNUMBER(G360)),CEILING(ROUND(F360*(1+G360),2),1000),""))</f>
        <v/>
      </c>
      <c r="J360" s="22">
        <f>IF(AND(ISNUMBER(I360),ISNUMBER(F360)),I360-F360,"")</f>
        <v/>
      </c>
      <c r="K360" s="23">
        <f>IF(AND(ISNUMBER(I360),ISNUMBER(F360)),IF(I360=0,"",(I360-F360)/I360),"")</f>
        <v/>
      </c>
      <c r="L360" s="22" t="n"/>
      <c r="M360" s="24">
        <f>IF(AND(ISNUMBER(I360),ISNUMBER(L360)),I360-L360,"")</f>
        <v/>
      </c>
      <c r="N360" s="25">
        <f>IF(AND(C360="",E360=""),"",IF(AND(H360&lt;&gt;"",NOT(ISNUMBER(H360))),"Cek Harga Manual",IF(AND(F360="-",NOT(ISNUMBER(H360))),"Isi Harga Manual",IF(F360="-","HPP akan dihapus",IF(AND(F360&lt;&gt;"",NOT(ISNUMBER(F360))),"Cek HPP",IF(AND(ISNUMBER(G360),OR(G360&lt;0,G360&gt;20)),"Cek Markup",IF(NOT(ISNUMBER(I360)),"Harga belum ada",IF(F360="","HPP kosong",IF(F360=0,"HPP 0, cek",IF(I360&lt;=F360,"RUGI / impas",IF(NOT(ISNUMBER(L360)),"Baru",IF(M360=0,"OK",IF(ABS(M360)&gt;=0.3*L360,"Berubah besar","Harga berubah")))))))))))))</f>
        <v/>
      </c>
      <c r="O360" s="18" t="n"/>
      <c r="P360" s="18" t="n"/>
      <c r="Q360" s="26" t="n"/>
    </row>
    <row r="361">
      <c r="A361" s="17" t="n"/>
      <c r="B361" s="18" t="n"/>
      <c r="C361" s="19" t="n"/>
      <c r="D361" s="19" t="n"/>
      <c r="E361" s="19" t="n"/>
      <c r="F361" s="20" t="n"/>
      <c r="G361" s="21" t="n"/>
      <c r="H361" s="20" t="n"/>
      <c r="I361" s="22">
        <f>IF(ISNUMBER(H361),H361,IF(AND(ISNUMBER(F361),ISNUMBER(G361)),CEILING(ROUND(F361*(1+G361),2),1000),""))</f>
        <v/>
      </c>
      <c r="J361" s="22">
        <f>IF(AND(ISNUMBER(I361),ISNUMBER(F361)),I361-F361,"")</f>
        <v/>
      </c>
      <c r="K361" s="23">
        <f>IF(AND(ISNUMBER(I361),ISNUMBER(F361)),IF(I361=0,"",(I361-F361)/I361),"")</f>
        <v/>
      </c>
      <c r="L361" s="22" t="n"/>
      <c r="M361" s="24">
        <f>IF(AND(ISNUMBER(I361),ISNUMBER(L361)),I361-L361,"")</f>
        <v/>
      </c>
      <c r="N361" s="25">
        <f>IF(AND(C361="",E361=""),"",IF(AND(H361&lt;&gt;"",NOT(ISNUMBER(H361))),"Cek Harga Manual",IF(AND(F361="-",NOT(ISNUMBER(H361))),"Isi Harga Manual",IF(F361="-","HPP akan dihapus",IF(AND(F361&lt;&gt;"",NOT(ISNUMBER(F361))),"Cek HPP",IF(AND(ISNUMBER(G361),OR(G361&lt;0,G361&gt;20)),"Cek Markup",IF(NOT(ISNUMBER(I361)),"Harga belum ada",IF(F361="","HPP kosong",IF(F361=0,"HPP 0, cek",IF(I361&lt;=F361,"RUGI / impas",IF(NOT(ISNUMBER(L361)),"Baru",IF(M361=0,"OK",IF(ABS(M361)&gt;=0.3*L361,"Berubah besar","Harga berubah")))))))))))))</f>
        <v/>
      </c>
      <c r="O361" s="18" t="n"/>
      <c r="P361" s="18" t="n"/>
      <c r="Q361" s="26" t="n"/>
    </row>
    <row r="362">
      <c r="A362" s="17" t="n"/>
      <c r="B362" s="18" t="n"/>
      <c r="C362" s="19" t="n"/>
      <c r="D362" s="19" t="n"/>
      <c r="E362" s="19" t="n"/>
      <c r="F362" s="20" t="n"/>
      <c r="G362" s="21" t="n"/>
      <c r="H362" s="20" t="n"/>
      <c r="I362" s="22">
        <f>IF(ISNUMBER(H362),H362,IF(AND(ISNUMBER(F362),ISNUMBER(G362)),CEILING(ROUND(F362*(1+G362),2),1000),""))</f>
        <v/>
      </c>
      <c r="J362" s="22">
        <f>IF(AND(ISNUMBER(I362),ISNUMBER(F362)),I362-F362,"")</f>
        <v/>
      </c>
      <c r="K362" s="23">
        <f>IF(AND(ISNUMBER(I362),ISNUMBER(F362)),IF(I362=0,"",(I362-F362)/I362),"")</f>
        <v/>
      </c>
      <c r="L362" s="22" t="n"/>
      <c r="M362" s="24">
        <f>IF(AND(ISNUMBER(I362),ISNUMBER(L362)),I362-L362,"")</f>
        <v/>
      </c>
      <c r="N362" s="25">
        <f>IF(AND(C362="",E362=""),"",IF(AND(H362&lt;&gt;"",NOT(ISNUMBER(H362))),"Cek Harga Manual",IF(AND(F362="-",NOT(ISNUMBER(H362))),"Isi Harga Manual",IF(F362="-","HPP akan dihapus",IF(AND(F362&lt;&gt;"",NOT(ISNUMBER(F362))),"Cek HPP",IF(AND(ISNUMBER(G362),OR(G362&lt;0,G362&gt;20)),"Cek Markup",IF(NOT(ISNUMBER(I362)),"Harga belum ada",IF(F362="","HPP kosong",IF(F362=0,"HPP 0, cek",IF(I362&lt;=F362,"RUGI / impas",IF(NOT(ISNUMBER(L362)),"Baru",IF(M362=0,"OK",IF(ABS(M362)&gt;=0.3*L362,"Berubah besar","Harga berubah")))))))))))))</f>
        <v/>
      </c>
      <c r="O362" s="18" t="n"/>
      <c r="P362" s="18" t="n"/>
      <c r="Q362" s="26" t="n"/>
    </row>
    <row r="363">
      <c r="A363" s="17" t="n"/>
      <c r="B363" s="18" t="n"/>
      <c r="C363" s="19" t="n"/>
      <c r="D363" s="19" t="n"/>
      <c r="E363" s="19" t="n"/>
      <c r="F363" s="20" t="n"/>
      <c r="G363" s="21" t="n"/>
      <c r="H363" s="20" t="n"/>
      <c r="I363" s="22">
        <f>IF(ISNUMBER(H363),H363,IF(AND(ISNUMBER(F363),ISNUMBER(G363)),CEILING(ROUND(F363*(1+G363),2),1000),""))</f>
        <v/>
      </c>
      <c r="J363" s="22">
        <f>IF(AND(ISNUMBER(I363),ISNUMBER(F363)),I363-F363,"")</f>
        <v/>
      </c>
      <c r="K363" s="23">
        <f>IF(AND(ISNUMBER(I363),ISNUMBER(F363)),IF(I363=0,"",(I363-F363)/I363),"")</f>
        <v/>
      </c>
      <c r="L363" s="22" t="n"/>
      <c r="M363" s="24">
        <f>IF(AND(ISNUMBER(I363),ISNUMBER(L363)),I363-L363,"")</f>
        <v/>
      </c>
      <c r="N363" s="25">
        <f>IF(AND(C363="",E363=""),"",IF(AND(H363&lt;&gt;"",NOT(ISNUMBER(H363))),"Cek Harga Manual",IF(AND(F363="-",NOT(ISNUMBER(H363))),"Isi Harga Manual",IF(F363="-","HPP akan dihapus",IF(AND(F363&lt;&gt;"",NOT(ISNUMBER(F363))),"Cek HPP",IF(AND(ISNUMBER(G363),OR(G363&lt;0,G363&gt;20)),"Cek Markup",IF(NOT(ISNUMBER(I363)),"Harga belum ada",IF(F363="","HPP kosong",IF(F363=0,"HPP 0, cek",IF(I363&lt;=F363,"RUGI / impas",IF(NOT(ISNUMBER(L363)),"Baru",IF(M363=0,"OK",IF(ABS(M363)&gt;=0.3*L363,"Berubah besar","Harga berubah")))))))))))))</f>
        <v/>
      </c>
      <c r="O363" s="18" t="n"/>
      <c r="P363" s="18" t="n"/>
      <c r="Q363" s="26" t="n"/>
    </row>
    <row r="364">
      <c r="A364" s="17" t="n"/>
      <c r="B364" s="18" t="n"/>
      <c r="C364" s="19" t="n"/>
      <c r="D364" s="19" t="n"/>
      <c r="E364" s="19" t="n"/>
      <c r="F364" s="20" t="n"/>
      <c r="G364" s="21" t="n"/>
      <c r="H364" s="20" t="n"/>
      <c r="I364" s="22">
        <f>IF(ISNUMBER(H364),H364,IF(AND(ISNUMBER(F364),ISNUMBER(G364)),CEILING(ROUND(F364*(1+G364),2),1000),""))</f>
        <v/>
      </c>
      <c r="J364" s="22">
        <f>IF(AND(ISNUMBER(I364),ISNUMBER(F364)),I364-F364,"")</f>
        <v/>
      </c>
      <c r="K364" s="23">
        <f>IF(AND(ISNUMBER(I364),ISNUMBER(F364)),IF(I364=0,"",(I364-F364)/I364),"")</f>
        <v/>
      </c>
      <c r="L364" s="22" t="n"/>
      <c r="M364" s="24">
        <f>IF(AND(ISNUMBER(I364),ISNUMBER(L364)),I364-L364,"")</f>
        <v/>
      </c>
      <c r="N364" s="25">
        <f>IF(AND(C364="",E364=""),"",IF(AND(H364&lt;&gt;"",NOT(ISNUMBER(H364))),"Cek Harga Manual",IF(AND(F364="-",NOT(ISNUMBER(H364))),"Isi Harga Manual",IF(F364="-","HPP akan dihapus",IF(AND(F364&lt;&gt;"",NOT(ISNUMBER(F364))),"Cek HPP",IF(AND(ISNUMBER(G364),OR(G364&lt;0,G364&gt;20)),"Cek Markup",IF(NOT(ISNUMBER(I364)),"Harga belum ada",IF(F364="","HPP kosong",IF(F364=0,"HPP 0, cek",IF(I364&lt;=F364,"RUGI / impas",IF(NOT(ISNUMBER(L364)),"Baru",IF(M364=0,"OK",IF(ABS(M364)&gt;=0.3*L364,"Berubah besar","Harga berubah")))))))))))))</f>
        <v/>
      </c>
      <c r="O364" s="18" t="n"/>
      <c r="P364" s="18" t="n"/>
      <c r="Q364" s="26" t="n"/>
    </row>
    <row r="365">
      <c r="A365" s="17" t="n"/>
      <c r="B365" s="18" t="n"/>
      <c r="C365" s="19" t="n"/>
      <c r="D365" s="19" t="n"/>
      <c r="E365" s="19" t="n"/>
      <c r="F365" s="20" t="n"/>
      <c r="G365" s="21" t="n"/>
      <c r="H365" s="20" t="n"/>
      <c r="I365" s="22">
        <f>IF(ISNUMBER(H365),H365,IF(AND(ISNUMBER(F365),ISNUMBER(G365)),CEILING(ROUND(F365*(1+G365),2),1000),""))</f>
        <v/>
      </c>
      <c r="J365" s="22">
        <f>IF(AND(ISNUMBER(I365),ISNUMBER(F365)),I365-F365,"")</f>
        <v/>
      </c>
      <c r="K365" s="23">
        <f>IF(AND(ISNUMBER(I365),ISNUMBER(F365)),IF(I365=0,"",(I365-F365)/I365),"")</f>
        <v/>
      </c>
      <c r="L365" s="22" t="n"/>
      <c r="M365" s="24">
        <f>IF(AND(ISNUMBER(I365),ISNUMBER(L365)),I365-L365,"")</f>
        <v/>
      </c>
      <c r="N365" s="25">
        <f>IF(AND(C365="",E365=""),"",IF(AND(H365&lt;&gt;"",NOT(ISNUMBER(H365))),"Cek Harga Manual",IF(AND(F365="-",NOT(ISNUMBER(H365))),"Isi Harga Manual",IF(F365="-","HPP akan dihapus",IF(AND(F365&lt;&gt;"",NOT(ISNUMBER(F365))),"Cek HPP",IF(AND(ISNUMBER(G365),OR(G365&lt;0,G365&gt;20)),"Cek Markup",IF(NOT(ISNUMBER(I365)),"Harga belum ada",IF(F365="","HPP kosong",IF(F365=0,"HPP 0, cek",IF(I365&lt;=F365,"RUGI / impas",IF(NOT(ISNUMBER(L365)),"Baru",IF(M365=0,"OK",IF(ABS(M365)&gt;=0.3*L365,"Berubah besar","Harga berubah")))))))))))))</f>
        <v/>
      </c>
      <c r="O365" s="18" t="n"/>
      <c r="P365" s="18" t="n"/>
      <c r="Q365" s="26" t="n"/>
    </row>
    <row r="366">
      <c r="A366" s="17" t="n"/>
      <c r="B366" s="18" t="n"/>
      <c r="C366" s="19" t="n"/>
      <c r="D366" s="19" t="n"/>
      <c r="E366" s="19" t="n"/>
      <c r="F366" s="20" t="n"/>
      <c r="G366" s="21" t="n"/>
      <c r="H366" s="20" t="n"/>
      <c r="I366" s="22">
        <f>IF(ISNUMBER(H366),H366,IF(AND(ISNUMBER(F366),ISNUMBER(G366)),CEILING(ROUND(F366*(1+G366),2),1000),""))</f>
        <v/>
      </c>
      <c r="J366" s="22">
        <f>IF(AND(ISNUMBER(I366),ISNUMBER(F366)),I366-F366,"")</f>
        <v/>
      </c>
      <c r="K366" s="23">
        <f>IF(AND(ISNUMBER(I366),ISNUMBER(F366)),IF(I366=0,"",(I366-F366)/I366),"")</f>
        <v/>
      </c>
      <c r="L366" s="22" t="n"/>
      <c r="M366" s="24">
        <f>IF(AND(ISNUMBER(I366),ISNUMBER(L366)),I366-L366,"")</f>
        <v/>
      </c>
      <c r="N366" s="25">
        <f>IF(AND(C366="",E366=""),"",IF(AND(H366&lt;&gt;"",NOT(ISNUMBER(H366))),"Cek Harga Manual",IF(AND(F366="-",NOT(ISNUMBER(H366))),"Isi Harga Manual",IF(F366="-","HPP akan dihapus",IF(AND(F366&lt;&gt;"",NOT(ISNUMBER(F366))),"Cek HPP",IF(AND(ISNUMBER(G366),OR(G366&lt;0,G366&gt;20)),"Cek Markup",IF(NOT(ISNUMBER(I366)),"Harga belum ada",IF(F366="","HPP kosong",IF(F366=0,"HPP 0, cek",IF(I366&lt;=F366,"RUGI / impas",IF(NOT(ISNUMBER(L366)),"Baru",IF(M366=0,"OK",IF(ABS(M366)&gt;=0.3*L366,"Berubah besar","Harga berubah")))))))))))))</f>
        <v/>
      </c>
      <c r="O366" s="18" t="n"/>
      <c r="P366" s="18" t="n"/>
      <c r="Q366" s="26" t="n"/>
    </row>
    <row r="367">
      <c r="A367" s="17" t="n"/>
      <c r="B367" s="18" t="n"/>
      <c r="C367" s="19" t="n"/>
      <c r="D367" s="19" t="n"/>
      <c r="E367" s="19" t="n"/>
      <c r="F367" s="20" t="n"/>
      <c r="G367" s="21" t="n"/>
      <c r="H367" s="20" t="n"/>
      <c r="I367" s="22">
        <f>IF(ISNUMBER(H367),H367,IF(AND(ISNUMBER(F367),ISNUMBER(G367)),CEILING(ROUND(F367*(1+G367),2),1000),""))</f>
        <v/>
      </c>
      <c r="J367" s="22">
        <f>IF(AND(ISNUMBER(I367),ISNUMBER(F367)),I367-F367,"")</f>
        <v/>
      </c>
      <c r="K367" s="23">
        <f>IF(AND(ISNUMBER(I367),ISNUMBER(F367)),IF(I367=0,"",(I367-F367)/I367),"")</f>
        <v/>
      </c>
      <c r="L367" s="22" t="n"/>
      <c r="M367" s="24">
        <f>IF(AND(ISNUMBER(I367),ISNUMBER(L367)),I367-L367,"")</f>
        <v/>
      </c>
      <c r="N367" s="25">
        <f>IF(AND(C367="",E367=""),"",IF(AND(H367&lt;&gt;"",NOT(ISNUMBER(H367))),"Cek Harga Manual",IF(AND(F367="-",NOT(ISNUMBER(H367))),"Isi Harga Manual",IF(F367="-","HPP akan dihapus",IF(AND(F367&lt;&gt;"",NOT(ISNUMBER(F367))),"Cek HPP",IF(AND(ISNUMBER(G367),OR(G367&lt;0,G367&gt;20)),"Cek Markup",IF(NOT(ISNUMBER(I367)),"Harga belum ada",IF(F367="","HPP kosong",IF(F367=0,"HPP 0, cek",IF(I367&lt;=F367,"RUGI / impas",IF(NOT(ISNUMBER(L367)),"Baru",IF(M367=0,"OK",IF(ABS(M367)&gt;=0.3*L367,"Berubah besar","Harga berubah")))))))))))))</f>
        <v/>
      </c>
      <c r="O367" s="18" t="n"/>
      <c r="P367" s="18" t="n"/>
      <c r="Q367" s="26" t="n"/>
    </row>
    <row r="368">
      <c r="A368" s="17" t="n"/>
      <c r="B368" s="18" t="n"/>
      <c r="C368" s="19" t="n"/>
      <c r="D368" s="19" t="n"/>
      <c r="E368" s="19" t="n"/>
      <c r="F368" s="20" t="n"/>
      <c r="G368" s="21" t="n"/>
      <c r="H368" s="20" t="n"/>
      <c r="I368" s="22">
        <f>IF(ISNUMBER(H368),H368,IF(AND(ISNUMBER(F368),ISNUMBER(G368)),CEILING(ROUND(F368*(1+G368),2),1000),""))</f>
        <v/>
      </c>
      <c r="J368" s="22">
        <f>IF(AND(ISNUMBER(I368),ISNUMBER(F368)),I368-F368,"")</f>
        <v/>
      </c>
      <c r="K368" s="23">
        <f>IF(AND(ISNUMBER(I368),ISNUMBER(F368)),IF(I368=0,"",(I368-F368)/I368),"")</f>
        <v/>
      </c>
      <c r="L368" s="22" t="n"/>
      <c r="M368" s="24">
        <f>IF(AND(ISNUMBER(I368),ISNUMBER(L368)),I368-L368,"")</f>
        <v/>
      </c>
      <c r="N368" s="25">
        <f>IF(AND(C368="",E368=""),"",IF(AND(H368&lt;&gt;"",NOT(ISNUMBER(H368))),"Cek Harga Manual",IF(AND(F368="-",NOT(ISNUMBER(H368))),"Isi Harga Manual",IF(F368="-","HPP akan dihapus",IF(AND(F368&lt;&gt;"",NOT(ISNUMBER(F368))),"Cek HPP",IF(AND(ISNUMBER(G368),OR(G368&lt;0,G368&gt;20)),"Cek Markup",IF(NOT(ISNUMBER(I368)),"Harga belum ada",IF(F368="","HPP kosong",IF(F368=0,"HPP 0, cek",IF(I368&lt;=F368,"RUGI / impas",IF(NOT(ISNUMBER(L368)),"Baru",IF(M368=0,"OK",IF(ABS(M368)&gt;=0.3*L368,"Berubah besar","Harga berubah")))))))))))))</f>
        <v/>
      </c>
      <c r="O368" s="18" t="n"/>
      <c r="P368" s="18" t="n"/>
      <c r="Q368" s="26" t="n"/>
    </row>
    <row r="369">
      <c r="A369" s="17" t="n"/>
      <c r="B369" s="18" t="n"/>
      <c r="C369" s="19" t="n"/>
      <c r="D369" s="19" t="n"/>
      <c r="E369" s="19" t="n"/>
      <c r="F369" s="20" t="n"/>
      <c r="G369" s="21" t="n"/>
      <c r="H369" s="20" t="n"/>
      <c r="I369" s="22">
        <f>IF(ISNUMBER(H369),H369,IF(AND(ISNUMBER(F369),ISNUMBER(G369)),CEILING(ROUND(F369*(1+G369),2),1000),""))</f>
        <v/>
      </c>
      <c r="J369" s="22">
        <f>IF(AND(ISNUMBER(I369),ISNUMBER(F369)),I369-F369,"")</f>
        <v/>
      </c>
      <c r="K369" s="23">
        <f>IF(AND(ISNUMBER(I369),ISNUMBER(F369)),IF(I369=0,"",(I369-F369)/I369),"")</f>
        <v/>
      </c>
      <c r="L369" s="22" t="n"/>
      <c r="M369" s="24">
        <f>IF(AND(ISNUMBER(I369),ISNUMBER(L369)),I369-L369,"")</f>
        <v/>
      </c>
      <c r="N369" s="25">
        <f>IF(AND(C369="",E369=""),"",IF(AND(H369&lt;&gt;"",NOT(ISNUMBER(H369))),"Cek Harga Manual",IF(AND(F369="-",NOT(ISNUMBER(H369))),"Isi Harga Manual",IF(F369="-","HPP akan dihapus",IF(AND(F369&lt;&gt;"",NOT(ISNUMBER(F369))),"Cek HPP",IF(AND(ISNUMBER(G369),OR(G369&lt;0,G369&gt;20)),"Cek Markup",IF(NOT(ISNUMBER(I369)),"Harga belum ada",IF(F369="","HPP kosong",IF(F369=0,"HPP 0, cek",IF(I369&lt;=F369,"RUGI / impas",IF(NOT(ISNUMBER(L369)),"Baru",IF(M369=0,"OK",IF(ABS(M369)&gt;=0.3*L369,"Berubah besar","Harga berubah")))))))))))))</f>
        <v/>
      </c>
      <c r="O369" s="18" t="n"/>
      <c r="P369" s="18" t="n"/>
      <c r="Q369" s="26" t="n"/>
    </row>
    <row r="370">
      <c r="A370" s="17" t="n"/>
      <c r="B370" s="18" t="n"/>
      <c r="C370" s="19" t="n"/>
      <c r="D370" s="19" t="n"/>
      <c r="E370" s="19" t="n"/>
      <c r="F370" s="20" t="n"/>
      <c r="G370" s="21" t="n"/>
      <c r="H370" s="20" t="n"/>
      <c r="I370" s="22">
        <f>IF(ISNUMBER(H370),H370,IF(AND(ISNUMBER(F370),ISNUMBER(G370)),CEILING(ROUND(F370*(1+G370),2),1000),""))</f>
        <v/>
      </c>
      <c r="J370" s="22">
        <f>IF(AND(ISNUMBER(I370),ISNUMBER(F370)),I370-F370,"")</f>
        <v/>
      </c>
      <c r="K370" s="23">
        <f>IF(AND(ISNUMBER(I370),ISNUMBER(F370)),IF(I370=0,"",(I370-F370)/I370),"")</f>
        <v/>
      </c>
      <c r="L370" s="22" t="n"/>
      <c r="M370" s="24">
        <f>IF(AND(ISNUMBER(I370),ISNUMBER(L370)),I370-L370,"")</f>
        <v/>
      </c>
      <c r="N370" s="25">
        <f>IF(AND(C370="",E370=""),"",IF(AND(H370&lt;&gt;"",NOT(ISNUMBER(H370))),"Cek Harga Manual",IF(AND(F370="-",NOT(ISNUMBER(H370))),"Isi Harga Manual",IF(F370="-","HPP akan dihapus",IF(AND(F370&lt;&gt;"",NOT(ISNUMBER(F370))),"Cek HPP",IF(AND(ISNUMBER(G370),OR(G370&lt;0,G370&gt;20)),"Cek Markup",IF(NOT(ISNUMBER(I370)),"Harga belum ada",IF(F370="","HPP kosong",IF(F370=0,"HPP 0, cek",IF(I370&lt;=F370,"RUGI / impas",IF(NOT(ISNUMBER(L370)),"Baru",IF(M370=0,"OK",IF(ABS(M370)&gt;=0.3*L370,"Berubah besar","Harga berubah")))))))))))))</f>
        <v/>
      </c>
      <c r="O370" s="18" t="n"/>
      <c r="P370" s="18" t="n"/>
      <c r="Q370" s="26" t="n"/>
    </row>
    <row r="371">
      <c r="A371" s="17" t="n"/>
      <c r="B371" s="18" t="n"/>
      <c r="C371" s="19" t="n"/>
      <c r="D371" s="19" t="n"/>
      <c r="E371" s="19" t="n"/>
      <c r="F371" s="20" t="n"/>
      <c r="G371" s="21" t="n"/>
      <c r="H371" s="20" t="n"/>
      <c r="I371" s="22">
        <f>IF(ISNUMBER(H371),H371,IF(AND(ISNUMBER(F371),ISNUMBER(G371)),CEILING(ROUND(F371*(1+G371),2),1000),""))</f>
        <v/>
      </c>
      <c r="J371" s="22">
        <f>IF(AND(ISNUMBER(I371),ISNUMBER(F371)),I371-F371,"")</f>
        <v/>
      </c>
      <c r="K371" s="23">
        <f>IF(AND(ISNUMBER(I371),ISNUMBER(F371)),IF(I371=0,"",(I371-F371)/I371),"")</f>
        <v/>
      </c>
      <c r="L371" s="22" t="n"/>
      <c r="M371" s="24">
        <f>IF(AND(ISNUMBER(I371),ISNUMBER(L371)),I371-L371,"")</f>
        <v/>
      </c>
      <c r="N371" s="25">
        <f>IF(AND(C371="",E371=""),"",IF(AND(H371&lt;&gt;"",NOT(ISNUMBER(H371))),"Cek Harga Manual",IF(AND(F371="-",NOT(ISNUMBER(H371))),"Isi Harga Manual",IF(F371="-","HPP akan dihapus",IF(AND(F371&lt;&gt;"",NOT(ISNUMBER(F371))),"Cek HPP",IF(AND(ISNUMBER(G371),OR(G371&lt;0,G371&gt;20)),"Cek Markup",IF(NOT(ISNUMBER(I371)),"Harga belum ada",IF(F371="","HPP kosong",IF(F371=0,"HPP 0, cek",IF(I371&lt;=F371,"RUGI / impas",IF(NOT(ISNUMBER(L371)),"Baru",IF(M371=0,"OK",IF(ABS(M371)&gt;=0.3*L371,"Berubah besar","Harga berubah")))))))))))))</f>
        <v/>
      </c>
      <c r="O371" s="18" t="n"/>
      <c r="P371" s="18" t="n"/>
      <c r="Q371" s="26" t="n"/>
    </row>
    <row r="372">
      <c r="A372" s="17" t="n"/>
      <c r="B372" s="18" t="n"/>
      <c r="C372" s="19" t="n"/>
      <c r="D372" s="19" t="n"/>
      <c r="E372" s="19" t="n"/>
      <c r="F372" s="20" t="n"/>
      <c r="G372" s="21" t="n"/>
      <c r="H372" s="20" t="n"/>
      <c r="I372" s="22">
        <f>IF(ISNUMBER(H372),H372,IF(AND(ISNUMBER(F372),ISNUMBER(G372)),CEILING(ROUND(F372*(1+G372),2),1000),""))</f>
        <v/>
      </c>
      <c r="J372" s="22">
        <f>IF(AND(ISNUMBER(I372),ISNUMBER(F372)),I372-F372,"")</f>
        <v/>
      </c>
      <c r="K372" s="23">
        <f>IF(AND(ISNUMBER(I372),ISNUMBER(F372)),IF(I372=0,"",(I372-F372)/I372),"")</f>
        <v/>
      </c>
      <c r="L372" s="22" t="n"/>
      <c r="M372" s="24">
        <f>IF(AND(ISNUMBER(I372),ISNUMBER(L372)),I372-L372,"")</f>
        <v/>
      </c>
      <c r="N372" s="25">
        <f>IF(AND(C372="",E372=""),"",IF(AND(H372&lt;&gt;"",NOT(ISNUMBER(H372))),"Cek Harga Manual",IF(AND(F372="-",NOT(ISNUMBER(H372))),"Isi Harga Manual",IF(F372="-","HPP akan dihapus",IF(AND(F372&lt;&gt;"",NOT(ISNUMBER(F372))),"Cek HPP",IF(AND(ISNUMBER(G372),OR(G372&lt;0,G372&gt;20)),"Cek Markup",IF(NOT(ISNUMBER(I372)),"Harga belum ada",IF(F372="","HPP kosong",IF(F372=0,"HPP 0, cek",IF(I372&lt;=F372,"RUGI / impas",IF(NOT(ISNUMBER(L372)),"Baru",IF(M372=0,"OK",IF(ABS(M372)&gt;=0.3*L372,"Berubah besar","Harga berubah")))))))))))))</f>
        <v/>
      </c>
      <c r="O372" s="18" t="n"/>
      <c r="P372" s="18" t="n"/>
      <c r="Q372" s="26" t="n"/>
    </row>
    <row r="373">
      <c r="A373" s="17" t="n"/>
      <c r="B373" s="18" t="n"/>
      <c r="C373" s="19" t="n"/>
      <c r="D373" s="19" t="n"/>
      <c r="E373" s="19" t="n"/>
      <c r="F373" s="20" t="n"/>
      <c r="G373" s="21" t="n"/>
      <c r="H373" s="20" t="n"/>
      <c r="I373" s="22">
        <f>IF(ISNUMBER(H373),H373,IF(AND(ISNUMBER(F373),ISNUMBER(G373)),CEILING(ROUND(F373*(1+G373),2),1000),""))</f>
        <v/>
      </c>
      <c r="J373" s="22">
        <f>IF(AND(ISNUMBER(I373),ISNUMBER(F373)),I373-F373,"")</f>
        <v/>
      </c>
      <c r="K373" s="23">
        <f>IF(AND(ISNUMBER(I373),ISNUMBER(F373)),IF(I373=0,"",(I373-F373)/I373),"")</f>
        <v/>
      </c>
      <c r="L373" s="22" t="n"/>
      <c r="M373" s="24">
        <f>IF(AND(ISNUMBER(I373),ISNUMBER(L373)),I373-L373,"")</f>
        <v/>
      </c>
      <c r="N373" s="25">
        <f>IF(AND(C373="",E373=""),"",IF(AND(H373&lt;&gt;"",NOT(ISNUMBER(H373))),"Cek Harga Manual",IF(AND(F373="-",NOT(ISNUMBER(H373))),"Isi Harga Manual",IF(F373="-","HPP akan dihapus",IF(AND(F373&lt;&gt;"",NOT(ISNUMBER(F373))),"Cek HPP",IF(AND(ISNUMBER(G373),OR(G373&lt;0,G373&gt;20)),"Cek Markup",IF(NOT(ISNUMBER(I373)),"Harga belum ada",IF(F373="","HPP kosong",IF(F373=0,"HPP 0, cek",IF(I373&lt;=F373,"RUGI / impas",IF(NOT(ISNUMBER(L373)),"Baru",IF(M373=0,"OK",IF(ABS(M373)&gt;=0.3*L373,"Berubah besar","Harga berubah")))))))))))))</f>
        <v/>
      </c>
      <c r="O373" s="18" t="n"/>
      <c r="P373" s="18" t="n"/>
      <c r="Q373" s="26" t="n"/>
    </row>
    <row r="374">
      <c r="A374" s="17" t="n"/>
      <c r="B374" s="18" t="n"/>
      <c r="C374" s="19" t="n"/>
      <c r="D374" s="19" t="n"/>
      <c r="E374" s="19" t="n"/>
      <c r="F374" s="20" t="n"/>
      <c r="G374" s="21" t="n"/>
      <c r="H374" s="20" t="n"/>
      <c r="I374" s="22">
        <f>IF(ISNUMBER(H374),H374,IF(AND(ISNUMBER(F374),ISNUMBER(G374)),CEILING(ROUND(F374*(1+G374),2),1000),""))</f>
        <v/>
      </c>
      <c r="J374" s="22">
        <f>IF(AND(ISNUMBER(I374),ISNUMBER(F374)),I374-F374,"")</f>
        <v/>
      </c>
      <c r="K374" s="23">
        <f>IF(AND(ISNUMBER(I374),ISNUMBER(F374)),IF(I374=0,"",(I374-F374)/I374),"")</f>
        <v/>
      </c>
      <c r="L374" s="22" t="n"/>
      <c r="M374" s="24">
        <f>IF(AND(ISNUMBER(I374),ISNUMBER(L374)),I374-L374,"")</f>
        <v/>
      </c>
      <c r="N374" s="25">
        <f>IF(AND(C374="",E374=""),"",IF(AND(H374&lt;&gt;"",NOT(ISNUMBER(H374))),"Cek Harga Manual",IF(AND(F374="-",NOT(ISNUMBER(H374))),"Isi Harga Manual",IF(F374="-","HPP akan dihapus",IF(AND(F374&lt;&gt;"",NOT(ISNUMBER(F374))),"Cek HPP",IF(AND(ISNUMBER(G374),OR(G374&lt;0,G374&gt;20)),"Cek Markup",IF(NOT(ISNUMBER(I374)),"Harga belum ada",IF(F374="","HPP kosong",IF(F374=0,"HPP 0, cek",IF(I374&lt;=F374,"RUGI / impas",IF(NOT(ISNUMBER(L374)),"Baru",IF(M374=0,"OK",IF(ABS(M374)&gt;=0.3*L374,"Berubah besar","Harga berubah")))))))))))))</f>
        <v/>
      </c>
      <c r="O374" s="18" t="n"/>
      <c r="P374" s="18" t="n"/>
      <c r="Q374" s="26" t="n"/>
    </row>
    <row r="375">
      <c r="A375" s="17" t="n"/>
      <c r="B375" s="18" t="n"/>
      <c r="C375" s="19" t="n"/>
      <c r="D375" s="19" t="n"/>
      <c r="E375" s="19" t="n"/>
      <c r="F375" s="20" t="n"/>
      <c r="G375" s="21" t="n"/>
      <c r="H375" s="20" t="n"/>
      <c r="I375" s="22">
        <f>IF(ISNUMBER(H375),H375,IF(AND(ISNUMBER(F375),ISNUMBER(G375)),CEILING(ROUND(F375*(1+G375),2),1000),""))</f>
        <v/>
      </c>
      <c r="J375" s="22">
        <f>IF(AND(ISNUMBER(I375),ISNUMBER(F375)),I375-F375,"")</f>
        <v/>
      </c>
      <c r="K375" s="23">
        <f>IF(AND(ISNUMBER(I375),ISNUMBER(F375)),IF(I375=0,"",(I375-F375)/I375),"")</f>
        <v/>
      </c>
      <c r="L375" s="22" t="n"/>
      <c r="M375" s="24">
        <f>IF(AND(ISNUMBER(I375),ISNUMBER(L375)),I375-L375,"")</f>
        <v/>
      </c>
      <c r="N375" s="25">
        <f>IF(AND(C375="",E375=""),"",IF(AND(H375&lt;&gt;"",NOT(ISNUMBER(H375))),"Cek Harga Manual",IF(AND(F375="-",NOT(ISNUMBER(H375))),"Isi Harga Manual",IF(F375="-","HPP akan dihapus",IF(AND(F375&lt;&gt;"",NOT(ISNUMBER(F375))),"Cek HPP",IF(AND(ISNUMBER(G375),OR(G375&lt;0,G375&gt;20)),"Cek Markup",IF(NOT(ISNUMBER(I375)),"Harga belum ada",IF(F375="","HPP kosong",IF(F375=0,"HPP 0, cek",IF(I375&lt;=F375,"RUGI / impas",IF(NOT(ISNUMBER(L375)),"Baru",IF(M375=0,"OK",IF(ABS(M375)&gt;=0.3*L375,"Berubah besar","Harga berubah")))))))))))))</f>
        <v/>
      </c>
      <c r="O375" s="18" t="n"/>
      <c r="P375" s="18" t="n"/>
      <c r="Q375" s="26" t="n"/>
    </row>
    <row r="376">
      <c r="A376" s="17" t="n"/>
      <c r="B376" s="18" t="n"/>
      <c r="C376" s="19" t="n"/>
      <c r="D376" s="19" t="n"/>
      <c r="E376" s="19" t="n"/>
      <c r="F376" s="20" t="n"/>
      <c r="G376" s="21" t="n"/>
      <c r="H376" s="20" t="n"/>
      <c r="I376" s="22">
        <f>IF(ISNUMBER(H376),H376,IF(AND(ISNUMBER(F376),ISNUMBER(G376)),CEILING(ROUND(F376*(1+G376),2),1000),""))</f>
        <v/>
      </c>
      <c r="J376" s="22">
        <f>IF(AND(ISNUMBER(I376),ISNUMBER(F376)),I376-F376,"")</f>
        <v/>
      </c>
      <c r="K376" s="23">
        <f>IF(AND(ISNUMBER(I376),ISNUMBER(F376)),IF(I376=0,"",(I376-F376)/I376),"")</f>
        <v/>
      </c>
      <c r="L376" s="22" t="n"/>
      <c r="M376" s="24">
        <f>IF(AND(ISNUMBER(I376),ISNUMBER(L376)),I376-L376,"")</f>
        <v/>
      </c>
      <c r="N376" s="25">
        <f>IF(AND(C376="",E376=""),"",IF(AND(H376&lt;&gt;"",NOT(ISNUMBER(H376))),"Cek Harga Manual",IF(AND(F376="-",NOT(ISNUMBER(H376))),"Isi Harga Manual",IF(F376="-","HPP akan dihapus",IF(AND(F376&lt;&gt;"",NOT(ISNUMBER(F376))),"Cek HPP",IF(AND(ISNUMBER(G376),OR(G376&lt;0,G376&gt;20)),"Cek Markup",IF(NOT(ISNUMBER(I376)),"Harga belum ada",IF(F376="","HPP kosong",IF(F376=0,"HPP 0, cek",IF(I376&lt;=F376,"RUGI / impas",IF(NOT(ISNUMBER(L376)),"Baru",IF(M376=0,"OK",IF(ABS(M376)&gt;=0.3*L376,"Berubah besar","Harga berubah")))))))))))))</f>
        <v/>
      </c>
      <c r="O376" s="18" t="n"/>
      <c r="P376" s="18" t="n"/>
      <c r="Q376" s="26" t="n"/>
    </row>
    <row r="377">
      <c r="A377" s="17" t="n"/>
      <c r="B377" s="18" t="n"/>
      <c r="C377" s="19" t="n"/>
      <c r="D377" s="19" t="n"/>
      <c r="E377" s="19" t="n"/>
      <c r="F377" s="20" t="n"/>
      <c r="G377" s="21" t="n"/>
      <c r="H377" s="20" t="n"/>
      <c r="I377" s="22">
        <f>IF(ISNUMBER(H377),H377,IF(AND(ISNUMBER(F377),ISNUMBER(G377)),CEILING(ROUND(F377*(1+G377),2),1000),""))</f>
        <v/>
      </c>
      <c r="J377" s="22">
        <f>IF(AND(ISNUMBER(I377),ISNUMBER(F377)),I377-F377,"")</f>
        <v/>
      </c>
      <c r="K377" s="23">
        <f>IF(AND(ISNUMBER(I377),ISNUMBER(F377)),IF(I377=0,"",(I377-F377)/I377),"")</f>
        <v/>
      </c>
      <c r="L377" s="22" t="n"/>
      <c r="M377" s="24">
        <f>IF(AND(ISNUMBER(I377),ISNUMBER(L377)),I377-L377,"")</f>
        <v/>
      </c>
      <c r="N377" s="25">
        <f>IF(AND(C377="",E377=""),"",IF(AND(H377&lt;&gt;"",NOT(ISNUMBER(H377))),"Cek Harga Manual",IF(AND(F377="-",NOT(ISNUMBER(H377))),"Isi Harga Manual",IF(F377="-","HPP akan dihapus",IF(AND(F377&lt;&gt;"",NOT(ISNUMBER(F377))),"Cek HPP",IF(AND(ISNUMBER(G377),OR(G377&lt;0,G377&gt;20)),"Cek Markup",IF(NOT(ISNUMBER(I377)),"Harga belum ada",IF(F377="","HPP kosong",IF(F377=0,"HPP 0, cek",IF(I377&lt;=F377,"RUGI / impas",IF(NOT(ISNUMBER(L377)),"Baru",IF(M377=0,"OK",IF(ABS(M377)&gt;=0.3*L377,"Berubah besar","Harga berubah")))))))))))))</f>
        <v/>
      </c>
      <c r="O377" s="18" t="n"/>
      <c r="P377" s="18" t="n"/>
      <c r="Q377" s="26" t="n"/>
    </row>
    <row r="378">
      <c r="A378" s="17" t="n"/>
      <c r="B378" s="18" t="n"/>
      <c r="C378" s="19" t="n"/>
      <c r="D378" s="19" t="n"/>
      <c r="E378" s="19" t="n"/>
      <c r="F378" s="20" t="n"/>
      <c r="G378" s="21" t="n"/>
      <c r="H378" s="20" t="n"/>
      <c r="I378" s="22">
        <f>IF(ISNUMBER(H378),H378,IF(AND(ISNUMBER(F378),ISNUMBER(G378)),CEILING(ROUND(F378*(1+G378),2),1000),""))</f>
        <v/>
      </c>
      <c r="J378" s="22">
        <f>IF(AND(ISNUMBER(I378),ISNUMBER(F378)),I378-F378,"")</f>
        <v/>
      </c>
      <c r="K378" s="23">
        <f>IF(AND(ISNUMBER(I378),ISNUMBER(F378)),IF(I378=0,"",(I378-F378)/I378),"")</f>
        <v/>
      </c>
      <c r="L378" s="22" t="n"/>
      <c r="M378" s="24">
        <f>IF(AND(ISNUMBER(I378),ISNUMBER(L378)),I378-L378,"")</f>
        <v/>
      </c>
      <c r="N378" s="25">
        <f>IF(AND(C378="",E378=""),"",IF(AND(H378&lt;&gt;"",NOT(ISNUMBER(H378))),"Cek Harga Manual",IF(AND(F378="-",NOT(ISNUMBER(H378))),"Isi Harga Manual",IF(F378="-","HPP akan dihapus",IF(AND(F378&lt;&gt;"",NOT(ISNUMBER(F378))),"Cek HPP",IF(AND(ISNUMBER(G378),OR(G378&lt;0,G378&gt;20)),"Cek Markup",IF(NOT(ISNUMBER(I378)),"Harga belum ada",IF(F378="","HPP kosong",IF(F378=0,"HPP 0, cek",IF(I378&lt;=F378,"RUGI / impas",IF(NOT(ISNUMBER(L378)),"Baru",IF(M378=0,"OK",IF(ABS(M378)&gt;=0.3*L378,"Berubah besar","Harga berubah")))))))))))))</f>
        <v/>
      </c>
      <c r="O378" s="18" t="n"/>
      <c r="P378" s="18" t="n"/>
      <c r="Q378" s="26" t="n"/>
    </row>
    <row r="379">
      <c r="A379" s="17" t="n"/>
      <c r="B379" s="18" t="n"/>
      <c r="C379" s="19" t="n"/>
      <c r="D379" s="19" t="n"/>
      <c r="E379" s="19" t="n"/>
      <c r="F379" s="20" t="n"/>
      <c r="G379" s="21" t="n"/>
      <c r="H379" s="20" t="n"/>
      <c r="I379" s="22">
        <f>IF(ISNUMBER(H379),H379,IF(AND(ISNUMBER(F379),ISNUMBER(G379)),CEILING(ROUND(F379*(1+G379),2),1000),""))</f>
        <v/>
      </c>
      <c r="J379" s="22">
        <f>IF(AND(ISNUMBER(I379),ISNUMBER(F379)),I379-F379,"")</f>
        <v/>
      </c>
      <c r="K379" s="23">
        <f>IF(AND(ISNUMBER(I379),ISNUMBER(F379)),IF(I379=0,"",(I379-F379)/I379),"")</f>
        <v/>
      </c>
      <c r="L379" s="22" t="n"/>
      <c r="M379" s="24">
        <f>IF(AND(ISNUMBER(I379),ISNUMBER(L379)),I379-L379,"")</f>
        <v/>
      </c>
      <c r="N379" s="25">
        <f>IF(AND(C379="",E379=""),"",IF(AND(H379&lt;&gt;"",NOT(ISNUMBER(H379))),"Cek Harga Manual",IF(AND(F379="-",NOT(ISNUMBER(H379))),"Isi Harga Manual",IF(F379="-","HPP akan dihapus",IF(AND(F379&lt;&gt;"",NOT(ISNUMBER(F379))),"Cek HPP",IF(AND(ISNUMBER(G379),OR(G379&lt;0,G379&gt;20)),"Cek Markup",IF(NOT(ISNUMBER(I379)),"Harga belum ada",IF(F379="","HPP kosong",IF(F379=0,"HPP 0, cek",IF(I379&lt;=F379,"RUGI / impas",IF(NOT(ISNUMBER(L379)),"Baru",IF(M379=0,"OK",IF(ABS(M379)&gt;=0.3*L379,"Berubah besar","Harga berubah")))))))))))))</f>
        <v/>
      </c>
      <c r="O379" s="18" t="n"/>
      <c r="P379" s="18" t="n"/>
      <c r="Q379" s="26" t="n"/>
    </row>
    <row r="380">
      <c r="A380" s="17" t="n"/>
      <c r="B380" s="18" t="n"/>
      <c r="C380" s="19" t="n"/>
      <c r="D380" s="19" t="n"/>
      <c r="E380" s="19" t="n"/>
      <c r="F380" s="20" t="n"/>
      <c r="G380" s="21" t="n"/>
      <c r="H380" s="20" t="n"/>
      <c r="I380" s="22">
        <f>IF(ISNUMBER(H380),H380,IF(AND(ISNUMBER(F380),ISNUMBER(G380)),CEILING(ROUND(F380*(1+G380),2),1000),""))</f>
        <v/>
      </c>
      <c r="J380" s="22">
        <f>IF(AND(ISNUMBER(I380),ISNUMBER(F380)),I380-F380,"")</f>
        <v/>
      </c>
      <c r="K380" s="23">
        <f>IF(AND(ISNUMBER(I380),ISNUMBER(F380)),IF(I380=0,"",(I380-F380)/I380),"")</f>
        <v/>
      </c>
      <c r="L380" s="22" t="n"/>
      <c r="M380" s="24">
        <f>IF(AND(ISNUMBER(I380),ISNUMBER(L380)),I380-L380,"")</f>
        <v/>
      </c>
      <c r="N380" s="25">
        <f>IF(AND(C380="",E380=""),"",IF(AND(H380&lt;&gt;"",NOT(ISNUMBER(H380))),"Cek Harga Manual",IF(AND(F380="-",NOT(ISNUMBER(H380))),"Isi Harga Manual",IF(F380="-","HPP akan dihapus",IF(AND(F380&lt;&gt;"",NOT(ISNUMBER(F380))),"Cek HPP",IF(AND(ISNUMBER(G380),OR(G380&lt;0,G380&gt;20)),"Cek Markup",IF(NOT(ISNUMBER(I380)),"Harga belum ada",IF(F380="","HPP kosong",IF(F380=0,"HPP 0, cek",IF(I380&lt;=F380,"RUGI / impas",IF(NOT(ISNUMBER(L380)),"Baru",IF(M380=0,"OK",IF(ABS(M380)&gt;=0.3*L380,"Berubah besar","Harga berubah")))))))))))))</f>
        <v/>
      </c>
      <c r="O380" s="18" t="n"/>
      <c r="P380" s="18" t="n"/>
      <c r="Q380" s="26" t="n"/>
    </row>
    <row r="381">
      <c r="A381" s="17" t="n"/>
      <c r="B381" s="18" t="n"/>
      <c r="C381" s="19" t="n"/>
      <c r="D381" s="19" t="n"/>
      <c r="E381" s="19" t="n"/>
      <c r="F381" s="20" t="n"/>
      <c r="G381" s="21" t="n"/>
      <c r="H381" s="20" t="n"/>
      <c r="I381" s="22">
        <f>IF(ISNUMBER(H381),H381,IF(AND(ISNUMBER(F381),ISNUMBER(G381)),CEILING(ROUND(F381*(1+G381),2),1000),""))</f>
        <v/>
      </c>
      <c r="J381" s="22">
        <f>IF(AND(ISNUMBER(I381),ISNUMBER(F381)),I381-F381,"")</f>
        <v/>
      </c>
      <c r="K381" s="23">
        <f>IF(AND(ISNUMBER(I381),ISNUMBER(F381)),IF(I381=0,"",(I381-F381)/I381),"")</f>
        <v/>
      </c>
      <c r="L381" s="22" t="n"/>
      <c r="M381" s="24">
        <f>IF(AND(ISNUMBER(I381),ISNUMBER(L381)),I381-L381,"")</f>
        <v/>
      </c>
      <c r="N381" s="25">
        <f>IF(AND(C381="",E381=""),"",IF(AND(H381&lt;&gt;"",NOT(ISNUMBER(H381))),"Cek Harga Manual",IF(AND(F381="-",NOT(ISNUMBER(H381))),"Isi Harga Manual",IF(F381="-","HPP akan dihapus",IF(AND(F381&lt;&gt;"",NOT(ISNUMBER(F381))),"Cek HPP",IF(AND(ISNUMBER(G381),OR(G381&lt;0,G381&gt;20)),"Cek Markup",IF(NOT(ISNUMBER(I381)),"Harga belum ada",IF(F381="","HPP kosong",IF(F381=0,"HPP 0, cek",IF(I381&lt;=F381,"RUGI / impas",IF(NOT(ISNUMBER(L381)),"Baru",IF(M381=0,"OK",IF(ABS(M381)&gt;=0.3*L381,"Berubah besar","Harga berubah")))))))))))))</f>
        <v/>
      </c>
      <c r="O381" s="18" t="n"/>
      <c r="P381" s="18" t="n"/>
      <c r="Q381" s="26" t="n"/>
    </row>
    <row r="382">
      <c r="A382" s="17" t="n"/>
      <c r="B382" s="18" t="n"/>
      <c r="C382" s="19" t="n"/>
      <c r="D382" s="19" t="n"/>
      <c r="E382" s="19" t="n"/>
      <c r="F382" s="20" t="n"/>
      <c r="G382" s="21" t="n"/>
      <c r="H382" s="20" t="n"/>
      <c r="I382" s="22">
        <f>IF(ISNUMBER(H382),H382,IF(AND(ISNUMBER(F382),ISNUMBER(G382)),CEILING(ROUND(F382*(1+G382),2),1000),""))</f>
        <v/>
      </c>
      <c r="J382" s="22">
        <f>IF(AND(ISNUMBER(I382),ISNUMBER(F382)),I382-F382,"")</f>
        <v/>
      </c>
      <c r="K382" s="23">
        <f>IF(AND(ISNUMBER(I382),ISNUMBER(F382)),IF(I382=0,"",(I382-F382)/I382),"")</f>
        <v/>
      </c>
      <c r="L382" s="22" t="n"/>
      <c r="M382" s="24">
        <f>IF(AND(ISNUMBER(I382),ISNUMBER(L382)),I382-L382,"")</f>
        <v/>
      </c>
      <c r="N382" s="25">
        <f>IF(AND(C382="",E382=""),"",IF(AND(H382&lt;&gt;"",NOT(ISNUMBER(H382))),"Cek Harga Manual",IF(AND(F382="-",NOT(ISNUMBER(H382))),"Isi Harga Manual",IF(F382="-","HPP akan dihapus",IF(AND(F382&lt;&gt;"",NOT(ISNUMBER(F382))),"Cek HPP",IF(AND(ISNUMBER(G382),OR(G382&lt;0,G382&gt;20)),"Cek Markup",IF(NOT(ISNUMBER(I382)),"Harga belum ada",IF(F382="","HPP kosong",IF(F382=0,"HPP 0, cek",IF(I382&lt;=F382,"RUGI / impas",IF(NOT(ISNUMBER(L382)),"Baru",IF(M382=0,"OK",IF(ABS(M382)&gt;=0.3*L382,"Berubah besar","Harga berubah")))))))))))))</f>
        <v/>
      </c>
      <c r="O382" s="18" t="n"/>
      <c r="P382" s="18" t="n"/>
      <c r="Q382" s="26" t="n"/>
    </row>
    <row r="383">
      <c r="A383" s="17" t="n"/>
      <c r="B383" s="18" t="n"/>
      <c r="C383" s="19" t="n"/>
      <c r="D383" s="19" t="n"/>
      <c r="E383" s="19" t="n"/>
      <c r="F383" s="20" t="n"/>
      <c r="G383" s="21" t="n"/>
      <c r="H383" s="20" t="n"/>
      <c r="I383" s="22">
        <f>IF(ISNUMBER(H383),H383,IF(AND(ISNUMBER(F383),ISNUMBER(G383)),CEILING(ROUND(F383*(1+G383),2),1000),""))</f>
        <v/>
      </c>
      <c r="J383" s="22">
        <f>IF(AND(ISNUMBER(I383),ISNUMBER(F383)),I383-F383,"")</f>
        <v/>
      </c>
      <c r="K383" s="23">
        <f>IF(AND(ISNUMBER(I383),ISNUMBER(F383)),IF(I383=0,"",(I383-F383)/I383),"")</f>
        <v/>
      </c>
      <c r="L383" s="22" t="n"/>
      <c r="M383" s="24">
        <f>IF(AND(ISNUMBER(I383),ISNUMBER(L383)),I383-L383,"")</f>
        <v/>
      </c>
      <c r="N383" s="25">
        <f>IF(AND(C383="",E383=""),"",IF(AND(H383&lt;&gt;"",NOT(ISNUMBER(H383))),"Cek Harga Manual",IF(AND(F383="-",NOT(ISNUMBER(H383))),"Isi Harga Manual",IF(F383="-","HPP akan dihapus",IF(AND(F383&lt;&gt;"",NOT(ISNUMBER(F383))),"Cek HPP",IF(AND(ISNUMBER(G383),OR(G383&lt;0,G383&gt;20)),"Cek Markup",IF(NOT(ISNUMBER(I383)),"Harga belum ada",IF(F383="","HPP kosong",IF(F383=0,"HPP 0, cek",IF(I383&lt;=F383,"RUGI / impas",IF(NOT(ISNUMBER(L383)),"Baru",IF(M383=0,"OK",IF(ABS(M383)&gt;=0.3*L383,"Berubah besar","Harga berubah")))))))))))))</f>
        <v/>
      </c>
      <c r="O383" s="18" t="n"/>
      <c r="P383" s="18" t="n"/>
      <c r="Q383" s="26" t="n"/>
    </row>
    <row r="384">
      <c r="A384" s="17" t="n"/>
      <c r="B384" s="18" t="n"/>
      <c r="C384" s="19" t="n"/>
      <c r="D384" s="19" t="n"/>
      <c r="E384" s="19" t="n"/>
      <c r="F384" s="20" t="n"/>
      <c r="G384" s="21" t="n"/>
      <c r="H384" s="20" t="n"/>
      <c r="I384" s="22">
        <f>IF(ISNUMBER(H384),H384,IF(AND(ISNUMBER(F384),ISNUMBER(G384)),CEILING(ROUND(F384*(1+G384),2),1000),""))</f>
        <v/>
      </c>
      <c r="J384" s="22">
        <f>IF(AND(ISNUMBER(I384),ISNUMBER(F384)),I384-F384,"")</f>
        <v/>
      </c>
      <c r="K384" s="23">
        <f>IF(AND(ISNUMBER(I384),ISNUMBER(F384)),IF(I384=0,"",(I384-F384)/I384),"")</f>
        <v/>
      </c>
      <c r="L384" s="22" t="n"/>
      <c r="M384" s="24">
        <f>IF(AND(ISNUMBER(I384),ISNUMBER(L384)),I384-L384,"")</f>
        <v/>
      </c>
      <c r="N384" s="25">
        <f>IF(AND(C384="",E384=""),"",IF(AND(H384&lt;&gt;"",NOT(ISNUMBER(H384))),"Cek Harga Manual",IF(AND(F384="-",NOT(ISNUMBER(H384))),"Isi Harga Manual",IF(F384="-","HPP akan dihapus",IF(AND(F384&lt;&gt;"",NOT(ISNUMBER(F384))),"Cek HPP",IF(AND(ISNUMBER(G384),OR(G384&lt;0,G384&gt;20)),"Cek Markup",IF(NOT(ISNUMBER(I384)),"Harga belum ada",IF(F384="","HPP kosong",IF(F384=0,"HPP 0, cek",IF(I384&lt;=F384,"RUGI / impas",IF(NOT(ISNUMBER(L384)),"Baru",IF(M384=0,"OK",IF(ABS(M384)&gt;=0.3*L384,"Berubah besar","Harga berubah")))))))))))))</f>
        <v/>
      </c>
      <c r="O384" s="18" t="n"/>
      <c r="P384" s="18" t="n"/>
      <c r="Q384" s="26" t="n"/>
    </row>
    <row r="385">
      <c r="A385" s="17" t="n"/>
      <c r="B385" s="18" t="n"/>
      <c r="C385" s="19" t="n"/>
      <c r="D385" s="19" t="n"/>
      <c r="E385" s="19" t="n"/>
      <c r="F385" s="20" t="n"/>
      <c r="G385" s="21" t="n"/>
      <c r="H385" s="20" t="n"/>
      <c r="I385" s="22">
        <f>IF(ISNUMBER(H385),H385,IF(AND(ISNUMBER(F385),ISNUMBER(G385)),CEILING(ROUND(F385*(1+G385),2),1000),""))</f>
        <v/>
      </c>
      <c r="J385" s="22">
        <f>IF(AND(ISNUMBER(I385),ISNUMBER(F385)),I385-F385,"")</f>
        <v/>
      </c>
      <c r="K385" s="23">
        <f>IF(AND(ISNUMBER(I385),ISNUMBER(F385)),IF(I385=0,"",(I385-F385)/I385),"")</f>
        <v/>
      </c>
      <c r="L385" s="22" t="n"/>
      <c r="M385" s="24">
        <f>IF(AND(ISNUMBER(I385),ISNUMBER(L385)),I385-L385,"")</f>
        <v/>
      </c>
      <c r="N385" s="25">
        <f>IF(AND(C385="",E385=""),"",IF(AND(H385&lt;&gt;"",NOT(ISNUMBER(H385))),"Cek Harga Manual",IF(AND(F385="-",NOT(ISNUMBER(H385))),"Isi Harga Manual",IF(F385="-","HPP akan dihapus",IF(AND(F385&lt;&gt;"",NOT(ISNUMBER(F385))),"Cek HPP",IF(AND(ISNUMBER(G385),OR(G385&lt;0,G385&gt;20)),"Cek Markup",IF(NOT(ISNUMBER(I385)),"Harga belum ada",IF(F385="","HPP kosong",IF(F385=0,"HPP 0, cek",IF(I385&lt;=F385,"RUGI / impas",IF(NOT(ISNUMBER(L385)),"Baru",IF(M385=0,"OK",IF(ABS(M385)&gt;=0.3*L385,"Berubah besar","Harga berubah")))))))))))))</f>
        <v/>
      </c>
      <c r="O385" s="18" t="n"/>
      <c r="P385" s="18" t="n"/>
      <c r="Q385" s="26" t="n"/>
    </row>
    <row r="386">
      <c r="A386" s="17" t="n"/>
      <c r="B386" s="18" t="n"/>
      <c r="C386" s="19" t="n"/>
      <c r="D386" s="19" t="n"/>
      <c r="E386" s="19" t="n"/>
      <c r="F386" s="20" t="n"/>
      <c r="G386" s="21" t="n"/>
      <c r="H386" s="20" t="n"/>
      <c r="I386" s="22">
        <f>IF(ISNUMBER(H386),H386,IF(AND(ISNUMBER(F386),ISNUMBER(G386)),CEILING(ROUND(F386*(1+G386),2),1000),""))</f>
        <v/>
      </c>
      <c r="J386" s="22">
        <f>IF(AND(ISNUMBER(I386),ISNUMBER(F386)),I386-F386,"")</f>
        <v/>
      </c>
      <c r="K386" s="23">
        <f>IF(AND(ISNUMBER(I386),ISNUMBER(F386)),IF(I386=0,"",(I386-F386)/I386),"")</f>
        <v/>
      </c>
      <c r="L386" s="22" t="n"/>
      <c r="M386" s="24">
        <f>IF(AND(ISNUMBER(I386),ISNUMBER(L386)),I386-L386,"")</f>
        <v/>
      </c>
      <c r="N386" s="25">
        <f>IF(AND(C386="",E386=""),"",IF(AND(H386&lt;&gt;"",NOT(ISNUMBER(H386))),"Cek Harga Manual",IF(AND(F386="-",NOT(ISNUMBER(H386))),"Isi Harga Manual",IF(F386="-","HPP akan dihapus",IF(AND(F386&lt;&gt;"",NOT(ISNUMBER(F386))),"Cek HPP",IF(AND(ISNUMBER(G386),OR(G386&lt;0,G386&gt;20)),"Cek Markup",IF(NOT(ISNUMBER(I386)),"Harga belum ada",IF(F386="","HPP kosong",IF(F386=0,"HPP 0, cek",IF(I386&lt;=F386,"RUGI / impas",IF(NOT(ISNUMBER(L386)),"Baru",IF(M386=0,"OK",IF(ABS(M386)&gt;=0.3*L386,"Berubah besar","Harga berubah")))))))))))))</f>
        <v/>
      </c>
      <c r="O386" s="18" t="n"/>
      <c r="P386" s="18" t="n"/>
      <c r="Q386" s="26" t="n"/>
    </row>
    <row r="387">
      <c r="A387" s="17" t="n"/>
      <c r="B387" s="18" t="n"/>
      <c r="C387" s="19" t="n"/>
      <c r="D387" s="19" t="n"/>
      <c r="E387" s="19" t="n"/>
      <c r="F387" s="20" t="n"/>
      <c r="G387" s="21" t="n"/>
      <c r="H387" s="20" t="n"/>
      <c r="I387" s="22">
        <f>IF(ISNUMBER(H387),H387,IF(AND(ISNUMBER(F387),ISNUMBER(G387)),CEILING(ROUND(F387*(1+G387),2),1000),""))</f>
        <v/>
      </c>
      <c r="J387" s="22">
        <f>IF(AND(ISNUMBER(I387),ISNUMBER(F387)),I387-F387,"")</f>
        <v/>
      </c>
      <c r="K387" s="23">
        <f>IF(AND(ISNUMBER(I387),ISNUMBER(F387)),IF(I387=0,"",(I387-F387)/I387),"")</f>
        <v/>
      </c>
      <c r="L387" s="22" t="n"/>
      <c r="M387" s="24">
        <f>IF(AND(ISNUMBER(I387),ISNUMBER(L387)),I387-L387,"")</f>
        <v/>
      </c>
      <c r="N387" s="25">
        <f>IF(AND(C387="",E387=""),"",IF(AND(H387&lt;&gt;"",NOT(ISNUMBER(H387))),"Cek Harga Manual",IF(AND(F387="-",NOT(ISNUMBER(H387))),"Isi Harga Manual",IF(F387="-","HPP akan dihapus",IF(AND(F387&lt;&gt;"",NOT(ISNUMBER(F387))),"Cek HPP",IF(AND(ISNUMBER(G387),OR(G387&lt;0,G387&gt;20)),"Cek Markup",IF(NOT(ISNUMBER(I387)),"Harga belum ada",IF(F387="","HPP kosong",IF(F387=0,"HPP 0, cek",IF(I387&lt;=F387,"RUGI / impas",IF(NOT(ISNUMBER(L387)),"Baru",IF(M387=0,"OK",IF(ABS(M387)&gt;=0.3*L387,"Berubah besar","Harga berubah")))))))))))))</f>
        <v/>
      </c>
      <c r="O387" s="18" t="n"/>
      <c r="P387" s="18" t="n"/>
      <c r="Q387" s="26" t="n"/>
    </row>
    <row r="388">
      <c r="A388" s="17" t="n"/>
      <c r="B388" s="18" t="n"/>
      <c r="C388" s="19" t="n"/>
      <c r="D388" s="19" t="n"/>
      <c r="E388" s="19" t="n"/>
      <c r="F388" s="20" t="n"/>
      <c r="G388" s="21" t="n"/>
      <c r="H388" s="20" t="n"/>
      <c r="I388" s="22">
        <f>IF(ISNUMBER(H388),H388,IF(AND(ISNUMBER(F388),ISNUMBER(G388)),CEILING(ROUND(F388*(1+G388),2),1000),""))</f>
        <v/>
      </c>
      <c r="J388" s="22">
        <f>IF(AND(ISNUMBER(I388),ISNUMBER(F388)),I388-F388,"")</f>
        <v/>
      </c>
      <c r="K388" s="23">
        <f>IF(AND(ISNUMBER(I388),ISNUMBER(F388)),IF(I388=0,"",(I388-F388)/I388),"")</f>
        <v/>
      </c>
      <c r="L388" s="22" t="n"/>
      <c r="M388" s="24">
        <f>IF(AND(ISNUMBER(I388),ISNUMBER(L388)),I388-L388,"")</f>
        <v/>
      </c>
      <c r="N388" s="25">
        <f>IF(AND(C388="",E388=""),"",IF(AND(H388&lt;&gt;"",NOT(ISNUMBER(H388))),"Cek Harga Manual",IF(AND(F388="-",NOT(ISNUMBER(H388))),"Isi Harga Manual",IF(F388="-","HPP akan dihapus",IF(AND(F388&lt;&gt;"",NOT(ISNUMBER(F388))),"Cek HPP",IF(AND(ISNUMBER(G388),OR(G388&lt;0,G388&gt;20)),"Cek Markup",IF(NOT(ISNUMBER(I388)),"Harga belum ada",IF(F388="","HPP kosong",IF(F388=0,"HPP 0, cek",IF(I388&lt;=F388,"RUGI / impas",IF(NOT(ISNUMBER(L388)),"Baru",IF(M388=0,"OK",IF(ABS(M388)&gt;=0.3*L388,"Berubah besar","Harga berubah")))))))))))))</f>
        <v/>
      </c>
      <c r="O388" s="18" t="n"/>
      <c r="P388" s="18" t="n"/>
      <c r="Q388" s="26" t="n"/>
    </row>
    <row r="389">
      <c r="A389" s="17" t="n"/>
      <c r="B389" s="18" t="n"/>
      <c r="C389" s="19" t="n"/>
      <c r="D389" s="19" t="n"/>
      <c r="E389" s="19" t="n"/>
      <c r="F389" s="20" t="n"/>
      <c r="G389" s="21" t="n"/>
      <c r="H389" s="20" t="n"/>
      <c r="I389" s="22">
        <f>IF(ISNUMBER(H389),H389,IF(AND(ISNUMBER(F389),ISNUMBER(G389)),CEILING(ROUND(F389*(1+G389),2),1000),""))</f>
        <v/>
      </c>
      <c r="J389" s="22">
        <f>IF(AND(ISNUMBER(I389),ISNUMBER(F389)),I389-F389,"")</f>
        <v/>
      </c>
      <c r="K389" s="23">
        <f>IF(AND(ISNUMBER(I389),ISNUMBER(F389)),IF(I389=0,"",(I389-F389)/I389),"")</f>
        <v/>
      </c>
      <c r="L389" s="22" t="n"/>
      <c r="M389" s="24">
        <f>IF(AND(ISNUMBER(I389),ISNUMBER(L389)),I389-L389,"")</f>
        <v/>
      </c>
      <c r="N389" s="25">
        <f>IF(AND(C389="",E389=""),"",IF(AND(H389&lt;&gt;"",NOT(ISNUMBER(H389))),"Cek Harga Manual",IF(AND(F389="-",NOT(ISNUMBER(H389))),"Isi Harga Manual",IF(F389="-","HPP akan dihapus",IF(AND(F389&lt;&gt;"",NOT(ISNUMBER(F389))),"Cek HPP",IF(AND(ISNUMBER(G389),OR(G389&lt;0,G389&gt;20)),"Cek Markup",IF(NOT(ISNUMBER(I389)),"Harga belum ada",IF(F389="","HPP kosong",IF(F389=0,"HPP 0, cek",IF(I389&lt;=F389,"RUGI / impas",IF(NOT(ISNUMBER(L389)),"Baru",IF(M389=0,"OK",IF(ABS(M389)&gt;=0.3*L389,"Berubah besar","Harga berubah")))))))))))))</f>
        <v/>
      </c>
      <c r="O389" s="18" t="n"/>
      <c r="P389" s="18" t="n"/>
      <c r="Q389" s="26" t="n"/>
    </row>
    <row r="390">
      <c r="A390" s="17" t="n"/>
      <c r="B390" s="18" t="n"/>
      <c r="C390" s="19" t="n"/>
      <c r="D390" s="19" t="n"/>
      <c r="E390" s="19" t="n"/>
      <c r="F390" s="20" t="n"/>
      <c r="G390" s="21" t="n"/>
      <c r="H390" s="20" t="n"/>
      <c r="I390" s="22">
        <f>IF(ISNUMBER(H390),H390,IF(AND(ISNUMBER(F390),ISNUMBER(G390)),CEILING(ROUND(F390*(1+G390),2),1000),""))</f>
        <v/>
      </c>
      <c r="J390" s="22">
        <f>IF(AND(ISNUMBER(I390),ISNUMBER(F390)),I390-F390,"")</f>
        <v/>
      </c>
      <c r="K390" s="23">
        <f>IF(AND(ISNUMBER(I390),ISNUMBER(F390)),IF(I390=0,"",(I390-F390)/I390),"")</f>
        <v/>
      </c>
      <c r="L390" s="22" t="n"/>
      <c r="M390" s="24">
        <f>IF(AND(ISNUMBER(I390),ISNUMBER(L390)),I390-L390,"")</f>
        <v/>
      </c>
      <c r="N390" s="25">
        <f>IF(AND(C390="",E390=""),"",IF(AND(H390&lt;&gt;"",NOT(ISNUMBER(H390))),"Cek Harga Manual",IF(AND(F390="-",NOT(ISNUMBER(H390))),"Isi Harga Manual",IF(F390="-","HPP akan dihapus",IF(AND(F390&lt;&gt;"",NOT(ISNUMBER(F390))),"Cek HPP",IF(AND(ISNUMBER(G390),OR(G390&lt;0,G390&gt;20)),"Cek Markup",IF(NOT(ISNUMBER(I390)),"Harga belum ada",IF(F390="","HPP kosong",IF(F390=0,"HPP 0, cek",IF(I390&lt;=F390,"RUGI / impas",IF(NOT(ISNUMBER(L390)),"Baru",IF(M390=0,"OK",IF(ABS(M390)&gt;=0.3*L390,"Berubah besar","Harga berubah")))))))))))))</f>
        <v/>
      </c>
      <c r="O390" s="18" t="n"/>
      <c r="P390" s="18" t="n"/>
      <c r="Q390" s="26" t="n"/>
    </row>
    <row r="391">
      <c r="A391" s="17" t="n"/>
      <c r="B391" s="18" t="n"/>
      <c r="C391" s="19" t="n"/>
      <c r="D391" s="19" t="n"/>
      <c r="E391" s="19" t="n"/>
      <c r="F391" s="20" t="n"/>
      <c r="G391" s="21" t="n"/>
      <c r="H391" s="20" t="n"/>
      <c r="I391" s="22">
        <f>IF(ISNUMBER(H391),H391,IF(AND(ISNUMBER(F391),ISNUMBER(G391)),CEILING(ROUND(F391*(1+G391),2),1000),""))</f>
        <v/>
      </c>
      <c r="J391" s="22">
        <f>IF(AND(ISNUMBER(I391),ISNUMBER(F391)),I391-F391,"")</f>
        <v/>
      </c>
      <c r="K391" s="23">
        <f>IF(AND(ISNUMBER(I391),ISNUMBER(F391)),IF(I391=0,"",(I391-F391)/I391),"")</f>
        <v/>
      </c>
      <c r="L391" s="22" t="n"/>
      <c r="M391" s="24">
        <f>IF(AND(ISNUMBER(I391),ISNUMBER(L391)),I391-L391,"")</f>
        <v/>
      </c>
      <c r="N391" s="25">
        <f>IF(AND(C391="",E391=""),"",IF(AND(H391&lt;&gt;"",NOT(ISNUMBER(H391))),"Cek Harga Manual",IF(AND(F391="-",NOT(ISNUMBER(H391))),"Isi Harga Manual",IF(F391="-","HPP akan dihapus",IF(AND(F391&lt;&gt;"",NOT(ISNUMBER(F391))),"Cek HPP",IF(AND(ISNUMBER(G391),OR(G391&lt;0,G391&gt;20)),"Cek Markup",IF(NOT(ISNUMBER(I391)),"Harga belum ada",IF(F391="","HPP kosong",IF(F391=0,"HPP 0, cek",IF(I391&lt;=F391,"RUGI / impas",IF(NOT(ISNUMBER(L391)),"Baru",IF(M391=0,"OK",IF(ABS(M391)&gt;=0.3*L391,"Berubah besar","Harga berubah")))))))))))))</f>
        <v/>
      </c>
      <c r="O391" s="18" t="n"/>
      <c r="P391" s="18" t="n"/>
      <c r="Q391" s="26" t="n"/>
    </row>
    <row r="392">
      <c r="A392" s="17" t="n"/>
      <c r="B392" s="18" t="n"/>
      <c r="C392" s="19" t="n"/>
      <c r="D392" s="19" t="n"/>
      <c r="E392" s="19" t="n"/>
      <c r="F392" s="20" t="n"/>
      <c r="G392" s="21" t="n"/>
      <c r="H392" s="20" t="n"/>
      <c r="I392" s="22">
        <f>IF(ISNUMBER(H392),H392,IF(AND(ISNUMBER(F392),ISNUMBER(G392)),CEILING(ROUND(F392*(1+G392),2),1000),""))</f>
        <v/>
      </c>
      <c r="J392" s="22">
        <f>IF(AND(ISNUMBER(I392),ISNUMBER(F392)),I392-F392,"")</f>
        <v/>
      </c>
      <c r="K392" s="23">
        <f>IF(AND(ISNUMBER(I392),ISNUMBER(F392)),IF(I392=0,"",(I392-F392)/I392),"")</f>
        <v/>
      </c>
      <c r="L392" s="22" t="n"/>
      <c r="M392" s="24">
        <f>IF(AND(ISNUMBER(I392),ISNUMBER(L392)),I392-L392,"")</f>
        <v/>
      </c>
      <c r="N392" s="25">
        <f>IF(AND(C392="",E392=""),"",IF(AND(H392&lt;&gt;"",NOT(ISNUMBER(H392))),"Cek Harga Manual",IF(AND(F392="-",NOT(ISNUMBER(H392))),"Isi Harga Manual",IF(F392="-","HPP akan dihapus",IF(AND(F392&lt;&gt;"",NOT(ISNUMBER(F392))),"Cek HPP",IF(AND(ISNUMBER(G392),OR(G392&lt;0,G392&gt;20)),"Cek Markup",IF(NOT(ISNUMBER(I392)),"Harga belum ada",IF(F392="","HPP kosong",IF(F392=0,"HPP 0, cek",IF(I392&lt;=F392,"RUGI / impas",IF(NOT(ISNUMBER(L392)),"Baru",IF(M392=0,"OK",IF(ABS(M392)&gt;=0.3*L392,"Berubah besar","Harga berubah")))))))))))))</f>
        <v/>
      </c>
      <c r="O392" s="18" t="n"/>
      <c r="P392" s="18" t="n"/>
      <c r="Q392" s="26" t="n"/>
    </row>
    <row r="393">
      <c r="A393" s="17" t="n"/>
      <c r="B393" s="18" t="n"/>
      <c r="C393" s="19" t="n"/>
      <c r="D393" s="19" t="n"/>
      <c r="E393" s="19" t="n"/>
      <c r="F393" s="20" t="n"/>
      <c r="G393" s="21" t="n"/>
      <c r="H393" s="20" t="n"/>
      <c r="I393" s="22">
        <f>IF(ISNUMBER(H393),H393,IF(AND(ISNUMBER(F393),ISNUMBER(G393)),CEILING(ROUND(F393*(1+G393),2),1000),""))</f>
        <v/>
      </c>
      <c r="J393" s="22">
        <f>IF(AND(ISNUMBER(I393),ISNUMBER(F393)),I393-F393,"")</f>
        <v/>
      </c>
      <c r="K393" s="23">
        <f>IF(AND(ISNUMBER(I393),ISNUMBER(F393)),IF(I393=0,"",(I393-F393)/I393),"")</f>
        <v/>
      </c>
      <c r="L393" s="22" t="n"/>
      <c r="M393" s="24">
        <f>IF(AND(ISNUMBER(I393),ISNUMBER(L393)),I393-L393,"")</f>
        <v/>
      </c>
      <c r="N393" s="25">
        <f>IF(AND(C393="",E393=""),"",IF(AND(H393&lt;&gt;"",NOT(ISNUMBER(H393))),"Cek Harga Manual",IF(AND(F393="-",NOT(ISNUMBER(H393))),"Isi Harga Manual",IF(F393="-","HPP akan dihapus",IF(AND(F393&lt;&gt;"",NOT(ISNUMBER(F393))),"Cek HPP",IF(AND(ISNUMBER(G393),OR(G393&lt;0,G393&gt;20)),"Cek Markup",IF(NOT(ISNUMBER(I393)),"Harga belum ada",IF(F393="","HPP kosong",IF(F393=0,"HPP 0, cek",IF(I393&lt;=F393,"RUGI / impas",IF(NOT(ISNUMBER(L393)),"Baru",IF(M393=0,"OK",IF(ABS(M393)&gt;=0.3*L393,"Berubah besar","Harga berubah")))))))))))))</f>
        <v/>
      </c>
      <c r="O393" s="18" t="n"/>
      <c r="P393" s="18" t="n"/>
      <c r="Q393" s="26" t="n"/>
    </row>
    <row r="394">
      <c r="A394" s="17" t="n"/>
      <c r="B394" s="18" t="n"/>
      <c r="C394" s="19" t="n"/>
      <c r="D394" s="19" t="n"/>
      <c r="E394" s="19" t="n"/>
      <c r="F394" s="20" t="n"/>
      <c r="G394" s="21" t="n"/>
      <c r="H394" s="20" t="n"/>
      <c r="I394" s="22">
        <f>IF(ISNUMBER(H394),H394,IF(AND(ISNUMBER(F394),ISNUMBER(G394)),CEILING(ROUND(F394*(1+G394),2),1000),""))</f>
        <v/>
      </c>
      <c r="J394" s="22">
        <f>IF(AND(ISNUMBER(I394),ISNUMBER(F394)),I394-F394,"")</f>
        <v/>
      </c>
      <c r="K394" s="23">
        <f>IF(AND(ISNUMBER(I394),ISNUMBER(F394)),IF(I394=0,"",(I394-F394)/I394),"")</f>
        <v/>
      </c>
      <c r="L394" s="22" t="n"/>
      <c r="M394" s="24">
        <f>IF(AND(ISNUMBER(I394),ISNUMBER(L394)),I394-L394,"")</f>
        <v/>
      </c>
      <c r="N394" s="25">
        <f>IF(AND(C394="",E394=""),"",IF(AND(H394&lt;&gt;"",NOT(ISNUMBER(H394))),"Cek Harga Manual",IF(AND(F394="-",NOT(ISNUMBER(H394))),"Isi Harga Manual",IF(F394="-","HPP akan dihapus",IF(AND(F394&lt;&gt;"",NOT(ISNUMBER(F394))),"Cek HPP",IF(AND(ISNUMBER(G394),OR(G394&lt;0,G394&gt;20)),"Cek Markup",IF(NOT(ISNUMBER(I394)),"Harga belum ada",IF(F394="","HPP kosong",IF(F394=0,"HPP 0, cek",IF(I394&lt;=F394,"RUGI / impas",IF(NOT(ISNUMBER(L394)),"Baru",IF(M394=0,"OK",IF(ABS(M394)&gt;=0.3*L394,"Berubah besar","Harga berubah")))))))))))))</f>
        <v/>
      </c>
      <c r="O394" s="18" t="n"/>
      <c r="P394" s="18" t="n"/>
      <c r="Q394" s="26" t="n"/>
    </row>
    <row r="395">
      <c r="A395" s="17" t="n"/>
      <c r="B395" s="18" t="n"/>
      <c r="C395" s="19" t="n"/>
      <c r="D395" s="19" t="n"/>
      <c r="E395" s="19" t="n"/>
      <c r="F395" s="20" t="n"/>
      <c r="G395" s="21" t="n"/>
      <c r="H395" s="20" t="n"/>
      <c r="I395" s="22">
        <f>IF(ISNUMBER(H395),H395,IF(AND(ISNUMBER(F395),ISNUMBER(G395)),CEILING(ROUND(F395*(1+G395),2),1000),""))</f>
        <v/>
      </c>
      <c r="J395" s="22">
        <f>IF(AND(ISNUMBER(I395),ISNUMBER(F395)),I395-F395,"")</f>
        <v/>
      </c>
      <c r="K395" s="23">
        <f>IF(AND(ISNUMBER(I395),ISNUMBER(F395)),IF(I395=0,"",(I395-F395)/I395),"")</f>
        <v/>
      </c>
      <c r="L395" s="22" t="n"/>
      <c r="M395" s="24">
        <f>IF(AND(ISNUMBER(I395),ISNUMBER(L395)),I395-L395,"")</f>
        <v/>
      </c>
      <c r="N395" s="25">
        <f>IF(AND(C395="",E395=""),"",IF(AND(H395&lt;&gt;"",NOT(ISNUMBER(H395))),"Cek Harga Manual",IF(AND(F395="-",NOT(ISNUMBER(H395))),"Isi Harga Manual",IF(F395="-","HPP akan dihapus",IF(AND(F395&lt;&gt;"",NOT(ISNUMBER(F395))),"Cek HPP",IF(AND(ISNUMBER(G395),OR(G395&lt;0,G395&gt;20)),"Cek Markup",IF(NOT(ISNUMBER(I395)),"Harga belum ada",IF(F395="","HPP kosong",IF(F395=0,"HPP 0, cek",IF(I395&lt;=F395,"RUGI / impas",IF(NOT(ISNUMBER(L395)),"Baru",IF(M395=0,"OK",IF(ABS(M395)&gt;=0.3*L395,"Berubah besar","Harga berubah")))))))))))))</f>
        <v/>
      </c>
      <c r="O395" s="18" t="n"/>
      <c r="P395" s="18" t="n"/>
      <c r="Q395" s="26" t="n"/>
    </row>
    <row r="396">
      <c r="A396" s="17" t="n"/>
      <c r="B396" s="18" t="n"/>
      <c r="C396" s="19" t="n"/>
      <c r="D396" s="19" t="n"/>
      <c r="E396" s="19" t="n"/>
      <c r="F396" s="20" t="n"/>
      <c r="G396" s="21" t="n"/>
      <c r="H396" s="20" t="n"/>
      <c r="I396" s="22">
        <f>IF(ISNUMBER(H396),H396,IF(AND(ISNUMBER(F396),ISNUMBER(G396)),CEILING(ROUND(F396*(1+G396),2),1000),""))</f>
        <v/>
      </c>
      <c r="J396" s="22">
        <f>IF(AND(ISNUMBER(I396),ISNUMBER(F396)),I396-F396,"")</f>
        <v/>
      </c>
      <c r="K396" s="23">
        <f>IF(AND(ISNUMBER(I396),ISNUMBER(F396)),IF(I396=0,"",(I396-F396)/I396),"")</f>
        <v/>
      </c>
      <c r="L396" s="22" t="n"/>
      <c r="M396" s="24">
        <f>IF(AND(ISNUMBER(I396),ISNUMBER(L396)),I396-L396,"")</f>
        <v/>
      </c>
      <c r="N396" s="25">
        <f>IF(AND(C396="",E396=""),"",IF(AND(H396&lt;&gt;"",NOT(ISNUMBER(H396))),"Cek Harga Manual",IF(AND(F396="-",NOT(ISNUMBER(H396))),"Isi Harga Manual",IF(F396="-","HPP akan dihapus",IF(AND(F396&lt;&gt;"",NOT(ISNUMBER(F396))),"Cek HPP",IF(AND(ISNUMBER(G396),OR(G396&lt;0,G396&gt;20)),"Cek Markup",IF(NOT(ISNUMBER(I396)),"Harga belum ada",IF(F396="","HPP kosong",IF(F396=0,"HPP 0, cek",IF(I396&lt;=F396,"RUGI / impas",IF(NOT(ISNUMBER(L396)),"Baru",IF(M396=0,"OK",IF(ABS(M396)&gt;=0.3*L396,"Berubah besar","Harga berubah")))))))))))))</f>
        <v/>
      </c>
      <c r="O396" s="18" t="n"/>
      <c r="P396" s="18" t="n"/>
      <c r="Q396" s="26" t="n"/>
    </row>
    <row r="397">
      <c r="A397" s="17" t="n"/>
      <c r="B397" s="18" t="n"/>
      <c r="C397" s="19" t="n"/>
      <c r="D397" s="19" t="n"/>
      <c r="E397" s="19" t="n"/>
      <c r="F397" s="20" t="n"/>
      <c r="G397" s="21" t="n"/>
      <c r="H397" s="20" t="n"/>
      <c r="I397" s="22">
        <f>IF(ISNUMBER(H397),H397,IF(AND(ISNUMBER(F397),ISNUMBER(G397)),CEILING(ROUND(F397*(1+G397),2),1000),""))</f>
        <v/>
      </c>
      <c r="J397" s="22">
        <f>IF(AND(ISNUMBER(I397),ISNUMBER(F397)),I397-F397,"")</f>
        <v/>
      </c>
      <c r="K397" s="23">
        <f>IF(AND(ISNUMBER(I397),ISNUMBER(F397)),IF(I397=0,"",(I397-F397)/I397),"")</f>
        <v/>
      </c>
      <c r="L397" s="22" t="n"/>
      <c r="M397" s="24">
        <f>IF(AND(ISNUMBER(I397),ISNUMBER(L397)),I397-L397,"")</f>
        <v/>
      </c>
      <c r="N397" s="25">
        <f>IF(AND(C397="",E397=""),"",IF(AND(H397&lt;&gt;"",NOT(ISNUMBER(H397))),"Cek Harga Manual",IF(AND(F397="-",NOT(ISNUMBER(H397))),"Isi Harga Manual",IF(F397="-","HPP akan dihapus",IF(AND(F397&lt;&gt;"",NOT(ISNUMBER(F397))),"Cek HPP",IF(AND(ISNUMBER(G397),OR(G397&lt;0,G397&gt;20)),"Cek Markup",IF(NOT(ISNUMBER(I397)),"Harga belum ada",IF(F397="","HPP kosong",IF(F397=0,"HPP 0, cek",IF(I397&lt;=F397,"RUGI / impas",IF(NOT(ISNUMBER(L397)),"Baru",IF(M397=0,"OK",IF(ABS(M397)&gt;=0.3*L397,"Berubah besar","Harga berubah")))))))))))))</f>
        <v/>
      </c>
      <c r="O397" s="18" t="n"/>
      <c r="P397" s="18" t="n"/>
      <c r="Q397" s="26" t="n"/>
    </row>
    <row r="398">
      <c r="A398" s="17" t="n"/>
      <c r="B398" s="18" t="n"/>
      <c r="C398" s="19" t="n"/>
      <c r="D398" s="19" t="n"/>
      <c r="E398" s="19" t="n"/>
      <c r="F398" s="20" t="n"/>
      <c r="G398" s="21" t="n"/>
      <c r="H398" s="20" t="n"/>
      <c r="I398" s="22">
        <f>IF(ISNUMBER(H398),H398,IF(AND(ISNUMBER(F398),ISNUMBER(G398)),CEILING(ROUND(F398*(1+G398),2),1000),""))</f>
        <v/>
      </c>
      <c r="J398" s="22">
        <f>IF(AND(ISNUMBER(I398),ISNUMBER(F398)),I398-F398,"")</f>
        <v/>
      </c>
      <c r="K398" s="23">
        <f>IF(AND(ISNUMBER(I398),ISNUMBER(F398)),IF(I398=0,"",(I398-F398)/I398),"")</f>
        <v/>
      </c>
      <c r="L398" s="22" t="n"/>
      <c r="M398" s="24">
        <f>IF(AND(ISNUMBER(I398),ISNUMBER(L398)),I398-L398,"")</f>
        <v/>
      </c>
      <c r="N398" s="25">
        <f>IF(AND(C398="",E398=""),"",IF(AND(H398&lt;&gt;"",NOT(ISNUMBER(H398))),"Cek Harga Manual",IF(AND(F398="-",NOT(ISNUMBER(H398))),"Isi Harga Manual",IF(F398="-","HPP akan dihapus",IF(AND(F398&lt;&gt;"",NOT(ISNUMBER(F398))),"Cek HPP",IF(AND(ISNUMBER(G398),OR(G398&lt;0,G398&gt;20)),"Cek Markup",IF(NOT(ISNUMBER(I398)),"Harga belum ada",IF(F398="","HPP kosong",IF(F398=0,"HPP 0, cek",IF(I398&lt;=F398,"RUGI / impas",IF(NOT(ISNUMBER(L398)),"Baru",IF(M398=0,"OK",IF(ABS(M398)&gt;=0.3*L398,"Berubah besar","Harga berubah")))))))))))))</f>
        <v/>
      </c>
      <c r="O398" s="18" t="n"/>
      <c r="P398" s="18" t="n"/>
      <c r="Q398" s="26" t="n"/>
    </row>
    <row r="399">
      <c r="A399" s="17" t="n"/>
      <c r="B399" s="18" t="n"/>
      <c r="C399" s="19" t="n"/>
      <c r="D399" s="19" t="n"/>
      <c r="E399" s="19" t="n"/>
      <c r="F399" s="20" t="n"/>
      <c r="G399" s="21" t="n"/>
      <c r="H399" s="20" t="n"/>
      <c r="I399" s="22">
        <f>IF(ISNUMBER(H399),H399,IF(AND(ISNUMBER(F399),ISNUMBER(G399)),CEILING(ROUND(F399*(1+G399),2),1000),""))</f>
        <v/>
      </c>
      <c r="J399" s="22">
        <f>IF(AND(ISNUMBER(I399),ISNUMBER(F399)),I399-F399,"")</f>
        <v/>
      </c>
      <c r="K399" s="23">
        <f>IF(AND(ISNUMBER(I399),ISNUMBER(F399)),IF(I399=0,"",(I399-F399)/I399),"")</f>
        <v/>
      </c>
      <c r="L399" s="22" t="n"/>
      <c r="M399" s="24">
        <f>IF(AND(ISNUMBER(I399),ISNUMBER(L399)),I399-L399,"")</f>
        <v/>
      </c>
      <c r="N399" s="25">
        <f>IF(AND(C399="",E399=""),"",IF(AND(H399&lt;&gt;"",NOT(ISNUMBER(H399))),"Cek Harga Manual",IF(AND(F399="-",NOT(ISNUMBER(H399))),"Isi Harga Manual",IF(F399="-","HPP akan dihapus",IF(AND(F399&lt;&gt;"",NOT(ISNUMBER(F399))),"Cek HPP",IF(AND(ISNUMBER(G399),OR(G399&lt;0,G399&gt;20)),"Cek Markup",IF(NOT(ISNUMBER(I399)),"Harga belum ada",IF(F399="","HPP kosong",IF(F399=0,"HPP 0, cek",IF(I399&lt;=F399,"RUGI / impas",IF(NOT(ISNUMBER(L399)),"Baru",IF(M399=0,"OK",IF(ABS(M399)&gt;=0.3*L399,"Berubah besar","Harga berubah")))))))))))))</f>
        <v/>
      </c>
      <c r="O399" s="18" t="n"/>
      <c r="P399" s="18" t="n"/>
      <c r="Q399" s="26" t="n"/>
    </row>
    <row r="400">
      <c r="A400" s="17" t="n"/>
      <c r="B400" s="18" t="n"/>
      <c r="C400" s="19" t="n"/>
      <c r="D400" s="19" t="n"/>
      <c r="E400" s="19" t="n"/>
      <c r="F400" s="20" t="n"/>
      <c r="G400" s="21" t="n"/>
      <c r="H400" s="20" t="n"/>
      <c r="I400" s="22">
        <f>IF(ISNUMBER(H400),H400,IF(AND(ISNUMBER(F400),ISNUMBER(G400)),CEILING(ROUND(F400*(1+G400),2),1000),""))</f>
        <v/>
      </c>
      <c r="J400" s="22">
        <f>IF(AND(ISNUMBER(I400),ISNUMBER(F400)),I400-F400,"")</f>
        <v/>
      </c>
      <c r="K400" s="23">
        <f>IF(AND(ISNUMBER(I400),ISNUMBER(F400)),IF(I400=0,"",(I400-F400)/I400),"")</f>
        <v/>
      </c>
      <c r="L400" s="22" t="n"/>
      <c r="M400" s="24">
        <f>IF(AND(ISNUMBER(I400),ISNUMBER(L400)),I400-L400,"")</f>
        <v/>
      </c>
      <c r="N400" s="25">
        <f>IF(AND(C400="",E400=""),"",IF(AND(H400&lt;&gt;"",NOT(ISNUMBER(H400))),"Cek Harga Manual",IF(AND(F400="-",NOT(ISNUMBER(H400))),"Isi Harga Manual",IF(F400="-","HPP akan dihapus",IF(AND(F400&lt;&gt;"",NOT(ISNUMBER(F400))),"Cek HPP",IF(AND(ISNUMBER(G400),OR(G400&lt;0,G400&gt;20)),"Cek Markup",IF(NOT(ISNUMBER(I400)),"Harga belum ada",IF(F400="","HPP kosong",IF(F400=0,"HPP 0, cek",IF(I400&lt;=F400,"RUGI / impas",IF(NOT(ISNUMBER(L400)),"Baru",IF(M400=0,"OK",IF(ABS(M400)&gt;=0.3*L400,"Berubah besar","Harga berubah")))))))))))))</f>
        <v/>
      </c>
      <c r="O400" s="18" t="n"/>
      <c r="P400" s="18" t="n"/>
      <c r="Q400" s="2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Q400"/>
  <conditionalFormatting sqref="N2:N400">
    <cfRule type="expression" priority="1" dxfId="0">
      <formula>$N2="RUGI / impas"</formula>
    </cfRule>
    <cfRule type="expression" priority="2" dxfId="0">
      <formula>$N2="Cek HPP"</formula>
    </cfRule>
    <cfRule type="expression" priority="3" dxfId="0">
      <formula>$N2="Cek Harga Manual"</formula>
    </cfRule>
    <cfRule type="expression" priority="4" dxfId="0">
      <formula>$N2="Harga belum ada"</formula>
    </cfRule>
    <cfRule type="expression" priority="5" dxfId="0">
      <formula>$N2="Isi Harga Manual"</formula>
    </cfRule>
    <cfRule type="expression" priority="6" dxfId="0">
      <formula>$N2="Cek Markup"</formula>
    </cfRule>
    <cfRule type="expression" priority="7" dxfId="1">
      <formula>$N2="HPP kosong"</formula>
    </cfRule>
    <cfRule type="expression" priority="8" dxfId="1">
      <formula>$N2="HPP 0, cek"</formula>
    </cfRule>
    <cfRule type="expression" priority="9" dxfId="1">
      <formula>$N2="HPP akan dihapus"</formula>
    </cfRule>
    <cfRule type="expression" priority="10" dxfId="2">
      <formula>$N2="Berubah besar"</formula>
    </cfRule>
    <cfRule type="expression" priority="11" dxfId="3">
      <formula>$N2="Harga berubah"</formula>
    </cfRule>
    <cfRule type="expression" priority="12" dxfId="4">
      <formula>$N2="Baru"</formula>
    </cfRule>
    <cfRule type="expression" priority="13" dxfId="5">
      <formula>$N2="OK"</formula>
    </cfRule>
  </conditionalFormatting>
  <conditionalFormatting sqref="A2:M400">
    <cfRule type="expression" priority="14" dxfId="6">
      <formula>$N2="RUGI / impas"</formula>
    </cfRule>
  </conditionalFormatting>
  <conditionalFormatting sqref="A2:Q400">
    <cfRule type="expression" priority="15" dxfId="7">
      <formula>$P2="Tidak"</formula>
    </cfRule>
  </conditionalFormatting>
  <conditionalFormatting sqref="O2:O400">
    <cfRule type="expression" priority="16" dxfId="8">
      <formula>$O2="Habis"</formula>
    </cfRule>
  </conditionalFormatting>
  <conditionalFormatting sqref="M2:M400">
    <cfRule type="expression" priority="17" dxfId="9">
      <formula>AND(ISNUMBER($M2),$M2&gt;0)</formula>
    </cfRule>
    <cfRule type="expression" priority="18" dxfId="10">
      <formula>AND(ISNUMBER($M2),$M2&lt;0)</formula>
    </cfRule>
  </conditionalFormatting>
  <conditionalFormatting sqref="B3:B400">
    <cfRule type="expression" priority="19" dxfId="11">
      <formula>AND($C3&lt;&gt;"",$C3=$C2,$B3=$B2)</formula>
    </cfRule>
  </conditionalFormatting>
  <conditionalFormatting sqref="C3:C400">
    <cfRule type="expression" priority="20" dxfId="11">
      <formula>AND($C3&lt;&gt;"",$C3=$C2)</formula>
    </cfRule>
  </conditionalFormatting>
  <conditionalFormatting sqref="D3:D400">
    <cfRule type="expression" priority="21" dxfId="11">
      <formula>AND($C3&lt;&gt;"",$C3=$C2,$D3=$D2)</formula>
    </cfRule>
  </conditionalFormatting>
  <conditionalFormatting sqref="A3:Q400">
    <cfRule type="expression" priority="22" dxfId="12">
      <formula>AND($C3&lt;&gt;"",$C3&lt;&gt;$C2)</formula>
    </cfRule>
  </conditionalFormatting>
  <dataValidations count="6">
    <dataValidation sqref="B2:B400" showDropDown="0" showInputMessage="0" showErrorMessage="0" allowBlank="1" errorTitle="Kategori" error="Kategori tidak ada di daftar. Lanjutkan kalau memang kategori baru." type="list" errorStyle="warning">
      <formula1>=Referensi!$A$2:$A$20</formula1>
    </dataValidation>
    <dataValidation sqref="O2:O400" showDropDown="0" showInputMessage="0" showErrorMessage="1" allowBlank="1" errorTitle="Stok" error="Pilih Tersedia atau Habis." type="list">
      <formula1>"Tersedia,Habis"</formula1>
    </dataValidation>
    <dataValidation sqref="P2:P400" showDropDown="0" showInputMessage="0" showErrorMessage="1" allowBlank="1" errorTitle="Tampil di Web" error="Pilih Ya atau Tidak." type="list">
      <formula1>"Ya,Tidak"</formula1>
    </dataValidation>
    <dataValidation sqref="F2:F400" showDropDown="0" showInputMessage="1" showErrorMessage="1" allowBlank="1" errorTitle="HPP" error="HPP sebaiknya angka bulat, mis. 33000. Ketik - untuk menghapus HPP." promptTitle="HPP (Rp)" prompt="Angka bulat, mis. 33000" type="whole" errorStyle="warning" operator="greaterThanOrEqual">
      <formula1>0</formula1>
    </dataValidation>
    <dataValidation sqref="G2:G400" showDropDown="0" showInputMessage="1" showErrorMessage="1" allowBlank="1" errorTitle="Markup" error="Markup biasanya 0% sampai 2000%. Ketik 35% atau 0,35." promptTitle="Markup" prompt="Ketik 35% atau 0,35" type="decimal" errorStyle="warning" operator="between">
      <formula1>0</formula1>
      <formula2>20</formula2>
    </dataValidation>
    <dataValidation sqref="H2:H400" showDropDown="0" showInputMessage="0" showErrorMessage="1" allowBlank="1" errorTitle="Harga Manual" error="Harga minimal Rp1.000 dan tanpa desimal." type="whole" errorStyle="warning" operator="greaterThanOrEqual">
      <formula1>1000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80" customWidth="1" min="3" max="3"/>
    <col width="10" customWidth="1" min="4" max="4"/>
  </cols>
  <sheetData>
    <row r="1" ht="30" customHeight="1">
      <c r="A1" s="27" t="inlineStr">
        <is>
          <t>Kategori</t>
        </is>
      </c>
      <c r="B1" s="27" t="inlineStr">
        <is>
          <t>Aplikasi</t>
        </is>
      </c>
      <c r="C1" s="27" t="inlineStr">
        <is>
          <t>Deskripsi Aplikasi (tampil di web)</t>
        </is>
      </c>
      <c r="D1" s="27" t="inlineStr">
        <is>
          <t>Jumlah Varian</t>
        </is>
      </c>
      <c r="F1" s="28" t="inlineStr">
        <is>
          <t>Deskripsi aplikasi diubah lewat panel admin (menu Aplikasi), bukan di sini.</t>
        </is>
      </c>
    </row>
    <row r="2">
      <c r="A2" s="29" t="n"/>
      <c r="B2" s="30" t="n"/>
      <c r="C2" s="31" t="n"/>
      <c r="D2" s="32">
        <f>IF(B2="","",COUNTIF(Katalog!$C$2:$C$400,B2))</f>
        <v/>
      </c>
    </row>
    <row r="3">
      <c r="A3" s="29" t="n"/>
      <c r="B3" s="30" t="n"/>
      <c r="C3" s="31" t="n"/>
      <c r="D3" s="32">
        <f>IF(B3="","",COUNTIF(Katalog!$C$2:$C$400,B3))</f>
        <v/>
      </c>
    </row>
    <row r="4">
      <c r="A4" s="29" t="n"/>
      <c r="B4" s="30" t="n"/>
      <c r="C4" s="31" t="n"/>
      <c r="D4" s="32">
        <f>IF(B4="","",COUNTIF(Katalog!$C$2:$C$400,B4))</f>
        <v/>
      </c>
    </row>
    <row r="5">
      <c r="A5" s="29" t="n"/>
      <c r="B5" s="30" t="n"/>
      <c r="C5" s="31" t="n"/>
      <c r="D5" s="32">
        <f>IF(B5="","",COUNTIF(Katalog!$C$2:$C$400,B5))</f>
        <v/>
      </c>
    </row>
    <row r="6">
      <c r="A6" s="29" t="n"/>
      <c r="B6" s="30" t="n"/>
      <c r="C6" s="31" t="n"/>
      <c r="D6" s="32">
        <f>IF(B6="","",COUNTIF(Katalog!$C$2:$C$400,B6))</f>
        <v/>
      </c>
    </row>
    <row r="7">
      <c r="A7" s="29" t="n"/>
      <c r="B7" s="30" t="n"/>
      <c r="C7" s="31" t="n"/>
      <c r="D7" s="32">
        <f>IF(B7="","",COUNTIF(Katalog!$C$2:$C$400,B7))</f>
        <v/>
      </c>
    </row>
    <row r="8">
      <c r="A8" s="29" t="n"/>
      <c r="B8" s="30" t="n"/>
      <c r="C8" s="31" t="n"/>
      <c r="D8" s="32">
        <f>IF(B8="","",COUNTIF(Katalog!$C$2:$C$400,B8))</f>
        <v/>
      </c>
    </row>
    <row r="9">
      <c r="A9" s="29" t="n"/>
      <c r="B9" s="30" t="n"/>
      <c r="C9" s="31" t="n"/>
      <c r="D9" s="32">
        <f>IF(B9="","",COUNTIF(Katalog!$C$2:$C$400,B9))</f>
        <v/>
      </c>
    </row>
    <row r="10">
      <c r="A10" s="29" t="n"/>
      <c r="B10" s="30" t="n"/>
      <c r="C10" s="31" t="n"/>
      <c r="D10" s="32">
        <f>IF(B10="","",COUNTIF(Katalog!$C$2:$C$400,B10))</f>
        <v/>
      </c>
    </row>
    <row r="11">
      <c r="A11" s="29" t="n"/>
      <c r="B11" s="30" t="n"/>
      <c r="C11" s="31" t="n"/>
      <c r="D11" s="32">
        <f>IF(B11="","",COUNTIF(Katalog!$C$2:$C$400,B11))</f>
        <v/>
      </c>
    </row>
    <row r="12">
      <c r="A12" s="29" t="n"/>
      <c r="B12" s="30" t="n"/>
      <c r="C12" s="31" t="n"/>
      <c r="D12" s="32">
        <f>IF(B12="","",COUNTIF(Katalog!$C$2:$C$400,B12))</f>
        <v/>
      </c>
    </row>
    <row r="13">
      <c r="A13" s="29" t="n"/>
      <c r="B13" s="30" t="n"/>
      <c r="C13" s="31" t="n"/>
      <c r="D13" s="32">
        <f>IF(B13="","",COUNTIF(Katalog!$C$2:$C$400,B13))</f>
        <v/>
      </c>
    </row>
    <row r="14">
      <c r="A14" s="29" t="n"/>
      <c r="B14" s="30" t="n"/>
      <c r="C14" s="31" t="n"/>
      <c r="D14" s="32">
        <f>IF(B14="","",COUNTIF(Katalog!$C$2:$C$400,B14))</f>
        <v/>
      </c>
    </row>
    <row r="15">
      <c r="A15" s="29" t="n"/>
      <c r="B15" s="30" t="n"/>
      <c r="C15" s="31" t="n"/>
      <c r="D15" s="32">
        <f>IF(B15="","",COUNTIF(Katalog!$C$2:$C$400,B15))</f>
        <v/>
      </c>
    </row>
    <row r="16">
      <c r="A16" s="29" t="n"/>
      <c r="B16" s="30" t="n"/>
      <c r="C16" s="31" t="n"/>
      <c r="D16" s="32">
        <f>IF(B16="","",COUNTIF(Katalog!$C$2:$C$400,B16))</f>
        <v/>
      </c>
    </row>
    <row r="17">
      <c r="A17" s="29" t="n"/>
      <c r="B17" s="30" t="n"/>
      <c r="C17" s="31" t="n"/>
      <c r="D17" s="32">
        <f>IF(B17="","",COUNTIF(Katalog!$C$2:$C$400,B17))</f>
        <v/>
      </c>
    </row>
    <row r="18">
      <c r="A18" s="29" t="n"/>
      <c r="B18" s="30" t="n"/>
      <c r="C18" s="31" t="n"/>
      <c r="D18" s="32">
        <f>IF(B18="","",COUNTIF(Katalog!$C$2:$C$400,B18))</f>
        <v/>
      </c>
    </row>
    <row r="19">
      <c r="A19" s="29" t="n"/>
      <c r="B19" s="30" t="n"/>
      <c r="C19" s="31" t="n"/>
      <c r="D19" s="32">
        <f>IF(B19="","",COUNTIF(Katalog!$C$2:$C$400,B19))</f>
        <v/>
      </c>
    </row>
    <row r="20">
      <c r="A20" s="29" t="n"/>
      <c r="B20" s="30" t="n"/>
      <c r="C20" s="31" t="n"/>
      <c r="D20" s="32">
        <f>IF(B20="","",COUNTIF(Katalog!$C$2:$C$400,B20))</f>
        <v/>
      </c>
    </row>
    <row r="21">
      <c r="A21" s="29" t="n"/>
      <c r="B21" s="30" t="n"/>
      <c r="C21" s="31" t="n"/>
      <c r="D21" s="32">
        <f>IF(B21="","",COUNTIF(Katalog!$C$2:$C$400,B21))</f>
        <v/>
      </c>
    </row>
    <row r="22">
      <c r="A22" s="29" t="n"/>
      <c r="B22" s="30" t="n"/>
      <c r="C22" s="31" t="n"/>
      <c r="D22" s="32">
        <f>IF(B22="","",COUNTIF(Katalog!$C$2:$C$400,B22))</f>
        <v/>
      </c>
    </row>
    <row r="23">
      <c r="A23" s="29" t="n"/>
      <c r="B23" s="30" t="n"/>
      <c r="C23" s="31" t="n"/>
      <c r="D23" s="32">
        <f>IF(B23="","",COUNTIF(Katalog!$C$2:$C$400,B23))</f>
        <v/>
      </c>
    </row>
    <row r="24">
      <c r="A24" s="29" t="n"/>
      <c r="B24" s="30" t="n"/>
      <c r="C24" s="31" t="n"/>
      <c r="D24" s="32">
        <f>IF(B24="","",COUNTIF(Katalog!$C$2:$C$400,B24))</f>
        <v/>
      </c>
    </row>
    <row r="25">
      <c r="A25" s="29" t="n"/>
      <c r="B25" s="30" t="n"/>
      <c r="C25" s="31" t="n"/>
      <c r="D25" s="32">
        <f>IF(B25="","",COUNTIF(Katalog!$C$2:$C$400,B25))</f>
        <v/>
      </c>
    </row>
    <row r="26">
      <c r="A26" s="29" t="n"/>
      <c r="B26" s="30" t="n"/>
      <c r="C26" s="31" t="n"/>
      <c r="D26" s="32">
        <f>IF(B26="","",COUNTIF(Katalog!$C$2:$C$400,B26))</f>
        <v/>
      </c>
    </row>
    <row r="27">
      <c r="A27" s="29" t="n"/>
      <c r="B27" s="30" t="n"/>
      <c r="C27" s="31" t="n"/>
      <c r="D27" s="32">
        <f>IF(B27="","",COUNTIF(Katalog!$C$2:$C$400,B27))</f>
        <v/>
      </c>
    </row>
    <row r="28">
      <c r="A28" s="29" t="n"/>
      <c r="B28" s="30" t="n"/>
      <c r="C28" s="31" t="n"/>
      <c r="D28" s="32">
        <f>IF(B28="","",COUNTIF(Katalog!$C$2:$C$400,B28))</f>
        <v/>
      </c>
    </row>
    <row r="29">
      <c r="A29" s="29" t="n"/>
      <c r="B29" s="30" t="n"/>
      <c r="C29" s="31" t="n"/>
      <c r="D29" s="32">
        <f>IF(B29="","",COUNTIF(Katalog!$C$2:$C$400,B29))</f>
        <v/>
      </c>
    </row>
    <row r="30">
      <c r="A30" s="29" t="n"/>
      <c r="B30" s="30" t="n"/>
      <c r="C30" s="31" t="n"/>
      <c r="D30" s="32">
        <f>IF(B30="","",COUNTIF(Katalog!$C$2:$C$400,B30))</f>
        <v/>
      </c>
    </row>
    <row r="31">
      <c r="A31" s="29" t="n"/>
      <c r="B31" s="30" t="n"/>
      <c r="C31" s="31" t="n"/>
      <c r="D31" s="32">
        <f>IF(B31="","",COUNTIF(Katalog!$C$2:$C$400,B31))</f>
        <v/>
      </c>
    </row>
    <row r="32">
      <c r="A32" s="29" t="n"/>
      <c r="B32" s="30" t="n"/>
      <c r="C32" s="31" t="n"/>
      <c r="D32" s="32">
        <f>IF(B32="","",COUNTIF(Katalog!$C$2:$C$400,B32))</f>
        <v/>
      </c>
    </row>
    <row r="33">
      <c r="A33" s="29" t="n"/>
      <c r="B33" s="30" t="n"/>
      <c r="C33" s="31" t="n"/>
      <c r="D33" s="32">
        <f>IF(B33="","",COUNTIF(Katalog!$C$2:$C$400,B33))</f>
        <v/>
      </c>
    </row>
    <row r="34">
      <c r="A34" s="29" t="n"/>
      <c r="B34" s="30" t="n"/>
      <c r="C34" s="31" t="n"/>
      <c r="D34" s="32">
        <f>IF(B34="","",COUNTIF(Katalog!$C$2:$C$400,B34))</f>
        <v/>
      </c>
    </row>
    <row r="35">
      <c r="A35" s="29" t="n"/>
      <c r="B35" s="30" t="n"/>
      <c r="C35" s="31" t="n"/>
      <c r="D35" s="32">
        <f>IF(B35="","",COUNTIF(Katalog!$C$2:$C$400,B35))</f>
        <v/>
      </c>
    </row>
    <row r="36">
      <c r="A36" s="29" t="n"/>
      <c r="B36" s="30" t="n"/>
      <c r="C36" s="31" t="n"/>
      <c r="D36" s="32">
        <f>IF(B36="","",COUNTIF(Katalog!$C$2:$C$400,B36))</f>
        <v/>
      </c>
    </row>
    <row r="37">
      <c r="A37" s="29" t="n"/>
      <c r="B37" s="30" t="n"/>
      <c r="C37" s="31" t="n"/>
      <c r="D37" s="32">
        <f>IF(B37="","",COUNTIF(Katalog!$C$2:$C$400,B37))</f>
        <v/>
      </c>
    </row>
    <row r="38">
      <c r="A38" s="29" t="n"/>
      <c r="B38" s="30" t="n"/>
      <c r="C38" s="31" t="n"/>
      <c r="D38" s="32">
        <f>IF(B38="","",COUNTIF(Katalog!$C$2:$C$400,B38))</f>
        <v/>
      </c>
    </row>
    <row r="39">
      <c r="A39" s="29" t="n"/>
      <c r="B39" s="30" t="n"/>
      <c r="C39" s="31" t="n"/>
      <c r="D39" s="32">
        <f>IF(B39="","",COUNTIF(Katalog!$C$2:$C$400,B39))</f>
        <v/>
      </c>
    </row>
    <row r="40">
      <c r="A40" s="29" t="n"/>
      <c r="B40" s="30" t="n"/>
      <c r="C40" s="31" t="n"/>
      <c r="D40" s="32">
        <f>IF(B40="","",COUNTIF(Katalog!$C$2:$C$400,B40))</f>
        <v/>
      </c>
    </row>
    <row r="41">
      <c r="A41" s="29" t="n"/>
      <c r="B41" s="30" t="n"/>
      <c r="C41" s="31" t="n"/>
      <c r="D41" s="32">
        <f>IF(B41="","",COUNTIF(Katalog!$C$2:$C$400,B41))</f>
        <v/>
      </c>
    </row>
    <row r="42">
      <c r="A42" s="29" t="n"/>
      <c r="B42" s="30" t="n"/>
      <c r="C42" s="31" t="n"/>
      <c r="D42" s="32">
        <f>IF(B42="","",COUNTIF(Katalog!$C$2:$C$400,B42))</f>
        <v/>
      </c>
    </row>
    <row r="43">
      <c r="A43" s="29" t="n"/>
      <c r="B43" s="30" t="n"/>
      <c r="C43" s="31" t="n"/>
      <c r="D43" s="32">
        <f>IF(B43="","",COUNTIF(Katalog!$C$2:$C$400,B43))</f>
        <v/>
      </c>
    </row>
    <row r="44">
      <c r="A44" s="29" t="n"/>
      <c r="B44" s="30" t="n"/>
      <c r="C44" s="31" t="n"/>
      <c r="D44" s="32">
        <f>IF(B44="","",COUNTIF(Katalog!$C$2:$C$400,B44))</f>
        <v/>
      </c>
    </row>
    <row r="45">
      <c r="A45" s="29" t="n"/>
      <c r="B45" s="30" t="n"/>
      <c r="C45" s="31" t="n"/>
      <c r="D45" s="32">
        <f>IF(B45="","",COUNTIF(Katalog!$C$2:$C$400,B45))</f>
        <v/>
      </c>
    </row>
    <row r="46">
      <c r="A46" s="29" t="n"/>
      <c r="B46" s="30" t="n"/>
      <c r="C46" s="31" t="n"/>
      <c r="D46" s="32">
        <f>IF(B46="","",COUNTIF(Katalog!$C$2:$C$400,B46))</f>
        <v/>
      </c>
    </row>
    <row r="47">
      <c r="A47" s="29" t="n"/>
      <c r="B47" s="30" t="n"/>
      <c r="C47" s="31" t="n"/>
      <c r="D47" s="32">
        <f>IF(B47="","",COUNTIF(Katalog!$C$2:$C$400,B47))</f>
        <v/>
      </c>
    </row>
    <row r="48">
      <c r="A48" s="29" t="n"/>
      <c r="B48" s="30" t="n"/>
      <c r="C48" s="31" t="n"/>
      <c r="D48" s="32">
        <f>IF(B48="","",COUNTIF(Katalog!$C$2:$C$400,B48))</f>
        <v/>
      </c>
    </row>
    <row r="49">
      <c r="A49" s="29" t="n"/>
      <c r="B49" s="30" t="n"/>
      <c r="C49" s="31" t="n"/>
      <c r="D49" s="32">
        <f>IF(B49="","",COUNTIF(Katalog!$C$2:$C$400,B49))</f>
        <v/>
      </c>
    </row>
    <row r="50">
      <c r="A50" s="29" t="n"/>
      <c r="B50" s="30" t="n"/>
      <c r="C50" s="31" t="n"/>
      <c r="D50" s="32">
        <f>IF(B50="","",COUNTIF(Katalog!$C$2:$C$400,B50))</f>
        <v/>
      </c>
    </row>
    <row r="51">
      <c r="A51" s="29" t="n"/>
      <c r="B51" s="30" t="n"/>
      <c r="C51" s="31" t="n"/>
      <c r="D51" s="32">
        <f>IF(B51="","",COUNTIF(Katalog!$C$2:$C$400,B51))</f>
        <v/>
      </c>
    </row>
    <row r="52">
      <c r="A52" s="29" t="n"/>
      <c r="B52" s="30" t="n"/>
      <c r="C52" s="31" t="n"/>
      <c r="D52" s="32">
        <f>IF(B52="","",COUNTIF(Katalog!$C$2:$C$400,B52))</f>
        <v/>
      </c>
    </row>
    <row r="53">
      <c r="A53" s="29" t="n"/>
      <c r="B53" s="30" t="n"/>
      <c r="C53" s="31" t="n"/>
      <c r="D53" s="32">
        <f>IF(B53="","",COUNTIF(Katalog!$C$2:$C$400,B53))</f>
        <v/>
      </c>
    </row>
    <row r="54">
      <c r="A54" s="29" t="n"/>
      <c r="B54" s="30" t="n"/>
      <c r="C54" s="31" t="n"/>
      <c r="D54" s="32">
        <f>IF(B54="","",COUNTIF(Katalog!$C$2:$C$400,B54))</f>
        <v/>
      </c>
    </row>
    <row r="55">
      <c r="A55" s="29" t="n"/>
      <c r="B55" s="30" t="n"/>
      <c r="C55" s="31" t="n"/>
      <c r="D55" s="32">
        <f>IF(B55="","",COUNTIF(Katalog!$C$2:$C$400,B55))</f>
        <v/>
      </c>
    </row>
    <row r="56">
      <c r="A56" s="29" t="n"/>
      <c r="B56" s="30" t="n"/>
      <c r="C56" s="31" t="n"/>
      <c r="D56" s="32">
        <f>IF(B56="","",COUNTIF(Katalog!$C$2:$C$400,B56))</f>
        <v/>
      </c>
    </row>
    <row r="57">
      <c r="A57" s="29" t="n"/>
      <c r="B57" s="30" t="n"/>
      <c r="C57" s="31" t="n"/>
      <c r="D57" s="32">
        <f>IF(B57="","",COUNTIF(Katalog!$C$2:$C$400,B57))</f>
        <v/>
      </c>
    </row>
    <row r="58">
      <c r="A58" s="29" t="n"/>
      <c r="B58" s="30" t="n"/>
      <c r="C58" s="31" t="n"/>
      <c r="D58" s="32">
        <f>IF(B58="","",COUNTIF(Katalog!$C$2:$C$400,B58))</f>
        <v/>
      </c>
    </row>
    <row r="59">
      <c r="A59" s="29" t="n"/>
      <c r="B59" s="30" t="n"/>
      <c r="C59" s="31" t="n"/>
      <c r="D59" s="32">
        <f>IF(B59="","",COUNTIF(Katalog!$C$2:$C$400,B59))</f>
        <v/>
      </c>
    </row>
    <row r="60">
      <c r="A60" s="29" t="n"/>
      <c r="B60" s="30" t="n"/>
      <c r="C60" s="31" t="n"/>
      <c r="D60" s="32">
        <f>IF(B60="","",COUNTIF(Katalog!$C$2:$C$400,B60))</f>
        <v/>
      </c>
    </row>
    <row r="61">
      <c r="A61" s="29" t="n"/>
      <c r="B61" s="30" t="n"/>
      <c r="C61" s="31" t="n"/>
      <c r="D61" s="32">
        <f>IF(B61="","",COUNTIF(Katalog!$C$2:$C$400,B61))</f>
        <v/>
      </c>
    </row>
    <row r="62">
      <c r="A62" s="29" t="n"/>
      <c r="B62" s="30" t="n"/>
      <c r="C62" s="31" t="n"/>
      <c r="D62" s="32">
        <f>IF(B62="","",COUNTIF(Katalog!$C$2:$C$400,B62))</f>
        <v/>
      </c>
    </row>
    <row r="63">
      <c r="A63" s="29" t="n"/>
      <c r="B63" s="30" t="n"/>
      <c r="C63" s="31" t="n"/>
      <c r="D63" s="32">
        <f>IF(B63="","",COUNTIF(Katalog!$C$2:$C$400,B63))</f>
        <v/>
      </c>
    </row>
    <row r="64">
      <c r="A64" s="29" t="n"/>
      <c r="B64" s="30" t="n"/>
      <c r="C64" s="31" t="n"/>
      <c r="D64" s="32">
        <f>IF(B64="","",COUNTIF(Katalog!$C$2:$C$400,B64))</f>
        <v/>
      </c>
    </row>
    <row r="65">
      <c r="A65" s="29" t="n"/>
      <c r="B65" s="30" t="n"/>
      <c r="C65" s="31" t="n"/>
      <c r="D65" s="32">
        <f>IF(B65="","",COUNTIF(Katalog!$C$2:$C$400,B65))</f>
        <v/>
      </c>
    </row>
    <row r="66">
      <c r="A66" s="29" t="n"/>
      <c r="B66" s="30" t="n"/>
      <c r="C66" s="31" t="n"/>
      <c r="D66" s="32">
        <f>IF(B66="","",COUNTIF(Katalog!$C$2:$C$400,B66))</f>
        <v/>
      </c>
    </row>
    <row r="67">
      <c r="A67" s="29" t="n"/>
      <c r="B67" s="30" t="n"/>
      <c r="C67" s="31" t="n"/>
      <c r="D67" s="32">
        <f>IF(B67="","",COUNTIF(Katalog!$C$2:$C$400,B67))</f>
        <v/>
      </c>
    </row>
    <row r="68">
      <c r="A68" s="29" t="n"/>
      <c r="B68" s="30" t="n"/>
      <c r="C68" s="31" t="n"/>
      <c r="D68" s="32">
        <f>IF(B68="","",COUNTIF(Katalog!$C$2:$C$400,B68))</f>
        <v/>
      </c>
    </row>
    <row r="69">
      <c r="A69" s="29" t="n"/>
      <c r="B69" s="30" t="n"/>
      <c r="C69" s="31" t="n"/>
      <c r="D69" s="32">
        <f>IF(B69="","",COUNTIF(Katalog!$C$2:$C$400,B69))</f>
        <v/>
      </c>
    </row>
    <row r="70">
      <c r="A70" s="29" t="n"/>
      <c r="B70" s="30" t="n"/>
      <c r="C70" s="31" t="n"/>
      <c r="D70" s="32">
        <f>IF(B70="","",COUNTIF(Katalog!$C$2:$C$400,B70))</f>
        <v/>
      </c>
    </row>
    <row r="71">
      <c r="A71" s="29" t="n"/>
      <c r="B71" s="30" t="n"/>
      <c r="C71" s="31" t="n"/>
      <c r="D71" s="32">
        <f>IF(B71="","",COUNTIF(Katalog!$C$2:$C$400,B71))</f>
        <v/>
      </c>
    </row>
    <row r="72">
      <c r="A72" s="29" t="n"/>
      <c r="B72" s="30" t="n"/>
      <c r="C72" s="31" t="n"/>
      <c r="D72" s="32">
        <f>IF(B72="","",COUNTIF(Katalog!$C$2:$C$400,B72))</f>
        <v/>
      </c>
    </row>
    <row r="73">
      <c r="A73" s="29" t="n"/>
      <c r="B73" s="30" t="n"/>
      <c r="C73" s="31" t="n"/>
      <c r="D73" s="32">
        <f>IF(B73="","",COUNTIF(Katalog!$C$2:$C$400,B73))</f>
        <v/>
      </c>
    </row>
    <row r="74">
      <c r="A74" s="29" t="n"/>
      <c r="B74" s="30" t="n"/>
      <c r="C74" s="31" t="n"/>
      <c r="D74" s="32">
        <f>IF(B74="","",COUNTIF(Katalog!$C$2:$C$400,B74))</f>
        <v/>
      </c>
    </row>
    <row r="75">
      <c r="A75" s="29" t="n"/>
      <c r="B75" s="30" t="n"/>
      <c r="C75" s="31" t="n"/>
      <c r="D75" s="32">
        <f>IF(B75="","",COUNTIF(Katalog!$C$2:$C$400,B75))</f>
        <v/>
      </c>
    </row>
    <row r="76">
      <c r="A76" s="29" t="n"/>
      <c r="B76" s="30" t="n"/>
      <c r="C76" s="31" t="n"/>
      <c r="D76" s="32">
        <f>IF(B76="","",COUNTIF(Katalog!$C$2:$C$400,B76))</f>
        <v/>
      </c>
    </row>
    <row r="77">
      <c r="A77" s="29" t="n"/>
      <c r="B77" s="30" t="n"/>
      <c r="C77" s="31" t="n"/>
      <c r="D77" s="32">
        <f>IF(B77="","",COUNTIF(Katalog!$C$2:$C$400,B77))</f>
        <v/>
      </c>
    </row>
    <row r="78">
      <c r="A78" s="29" t="n"/>
      <c r="B78" s="30" t="n"/>
      <c r="C78" s="31" t="n"/>
      <c r="D78" s="32">
        <f>IF(B78="","",COUNTIF(Katalog!$C$2:$C$400,B78))</f>
        <v/>
      </c>
    </row>
    <row r="79">
      <c r="A79" s="29" t="n"/>
      <c r="B79" s="30" t="n"/>
      <c r="C79" s="31" t="n"/>
      <c r="D79" s="32">
        <f>IF(B79="","",COUNTIF(Katalog!$C$2:$C$400,B79))</f>
        <v/>
      </c>
    </row>
    <row r="80">
      <c r="A80" s="29" t="n"/>
      <c r="B80" s="30" t="n"/>
      <c r="C80" s="31" t="n"/>
      <c r="D80" s="32">
        <f>IF(B80="","",COUNTIF(Katalog!$C$2:$C$400,B80))</f>
        <v/>
      </c>
    </row>
    <row r="81">
      <c r="A81" s="29" t="n"/>
      <c r="B81" s="30" t="n"/>
      <c r="C81" s="31" t="n"/>
      <c r="D81" s="32">
        <f>IF(B81="","",COUNTIF(Katalog!$C$2:$C$400,B81))</f>
        <v/>
      </c>
    </row>
    <row r="82">
      <c r="A82" s="29" t="n"/>
      <c r="B82" s="30" t="n"/>
      <c r="C82" s="31" t="n"/>
      <c r="D82" s="32">
        <f>IF(B82="","",COUNTIF(Katalog!$C$2:$C$400,B82))</f>
        <v/>
      </c>
    </row>
    <row r="83">
      <c r="A83" s="29" t="n"/>
      <c r="B83" s="30" t="n"/>
      <c r="C83" s="31" t="n"/>
      <c r="D83" s="32">
        <f>IF(B83="","",COUNTIF(Katalog!$C$2:$C$400,B83))</f>
        <v/>
      </c>
    </row>
    <row r="84">
      <c r="A84" s="29" t="n"/>
      <c r="B84" s="30" t="n"/>
      <c r="C84" s="31" t="n"/>
      <c r="D84" s="32">
        <f>IF(B84="","",COUNTIF(Katalog!$C$2:$C$400,B84))</f>
        <v/>
      </c>
    </row>
    <row r="85">
      <c r="A85" s="29" t="n"/>
      <c r="B85" s="30" t="n"/>
      <c r="C85" s="31" t="n"/>
      <c r="D85" s="32">
        <f>IF(B85="","",COUNTIF(Katalog!$C$2:$C$400,B85))</f>
        <v/>
      </c>
    </row>
    <row r="86">
      <c r="A86" s="29" t="n"/>
      <c r="B86" s="30" t="n"/>
      <c r="C86" s="31" t="n"/>
      <c r="D86" s="32">
        <f>IF(B86="","",COUNTIF(Katalog!$C$2:$C$400,B86))</f>
        <v/>
      </c>
    </row>
    <row r="87">
      <c r="A87" s="29" t="n"/>
      <c r="B87" s="30" t="n"/>
      <c r="C87" s="31" t="n"/>
      <c r="D87" s="32">
        <f>IF(B87="","",COUNTIF(Katalog!$C$2:$C$400,B87))</f>
        <v/>
      </c>
    </row>
    <row r="88">
      <c r="A88" s="29" t="n"/>
      <c r="B88" s="30" t="n"/>
      <c r="C88" s="31" t="n"/>
      <c r="D88" s="32">
        <f>IF(B88="","",COUNTIF(Katalog!$C$2:$C$400,B88))</f>
        <v/>
      </c>
    </row>
    <row r="89">
      <c r="A89" s="29" t="n"/>
      <c r="B89" s="30" t="n"/>
      <c r="C89" s="31" t="n"/>
      <c r="D89" s="32">
        <f>IF(B89="","",COUNTIF(Katalog!$C$2:$C$400,B89))</f>
        <v/>
      </c>
    </row>
    <row r="90">
      <c r="A90" s="29" t="n"/>
      <c r="B90" s="30" t="n"/>
      <c r="C90" s="31" t="n"/>
      <c r="D90" s="32">
        <f>IF(B90="","",COUNTIF(Katalog!$C$2:$C$400,B90))</f>
        <v/>
      </c>
    </row>
    <row r="91">
      <c r="A91" s="29" t="n"/>
      <c r="B91" s="30" t="n"/>
      <c r="C91" s="31" t="n"/>
      <c r="D91" s="32">
        <f>IF(B91="","",COUNTIF(Katalog!$C$2:$C$400,B91))</f>
        <v/>
      </c>
    </row>
    <row r="92">
      <c r="A92" s="29" t="n"/>
      <c r="B92" s="30" t="n"/>
      <c r="C92" s="31" t="n"/>
      <c r="D92" s="32">
        <f>IF(B92="","",COUNTIF(Katalog!$C$2:$C$400,B92))</f>
        <v/>
      </c>
    </row>
    <row r="93">
      <c r="A93" s="29" t="n"/>
      <c r="B93" s="30" t="n"/>
      <c r="C93" s="31" t="n"/>
      <c r="D93" s="32">
        <f>IF(B93="","",COUNTIF(Katalog!$C$2:$C$400,B93))</f>
        <v/>
      </c>
    </row>
    <row r="94">
      <c r="A94" s="29" t="n"/>
      <c r="B94" s="30" t="n"/>
      <c r="C94" s="31" t="n"/>
      <c r="D94" s="32">
        <f>IF(B94="","",COUNTIF(Katalog!$C$2:$C$400,B94))</f>
        <v/>
      </c>
    </row>
    <row r="95">
      <c r="A95" s="29" t="n"/>
      <c r="B95" s="30" t="n"/>
      <c r="C95" s="31" t="n"/>
      <c r="D95" s="32">
        <f>IF(B95="","",COUNTIF(Katalog!$C$2:$C$400,B95))</f>
        <v/>
      </c>
    </row>
    <row r="96">
      <c r="A96" s="29" t="n"/>
      <c r="B96" s="30" t="n"/>
      <c r="C96" s="31" t="n"/>
      <c r="D96" s="32">
        <f>IF(B96="","",COUNTIF(Katalog!$C$2:$C$400,B96))</f>
        <v/>
      </c>
    </row>
    <row r="97">
      <c r="A97" s="29" t="n"/>
      <c r="B97" s="30" t="n"/>
      <c r="C97" s="31" t="n"/>
      <c r="D97" s="32">
        <f>IF(B97="","",COUNTIF(Katalog!$C$2:$C$400,B97))</f>
        <v/>
      </c>
    </row>
    <row r="98">
      <c r="A98" s="29" t="n"/>
      <c r="B98" s="30" t="n"/>
      <c r="C98" s="31" t="n"/>
      <c r="D98" s="32">
        <f>IF(B98="","",COUNTIF(Katalog!$C$2:$C$400,B98))</f>
        <v/>
      </c>
    </row>
    <row r="99">
      <c r="A99" s="29" t="n"/>
      <c r="B99" s="30" t="n"/>
      <c r="C99" s="31" t="n"/>
      <c r="D99" s="32">
        <f>IF(B99="","",COUNTIF(Katalog!$C$2:$C$400,B99))</f>
        <v/>
      </c>
    </row>
    <row r="100">
      <c r="A100" s="29" t="n"/>
      <c r="B100" s="30" t="n"/>
      <c r="C100" s="31" t="n"/>
      <c r="D100" s="32">
        <f>IF(B100="","",COUNTIF(Katalog!$C$2:$C$400,B100))</f>
        <v/>
      </c>
    </row>
    <row r="101">
      <c r="A101" s="29" t="n"/>
      <c r="B101" s="30" t="n"/>
      <c r="C101" s="31" t="n"/>
      <c r="D101" s="32">
        <f>IF(B101="","",COUNTIF(Katalog!$C$2:$C$400,B101))</f>
        <v/>
      </c>
    </row>
    <row r="102">
      <c r="A102" s="29" t="n"/>
      <c r="B102" s="30" t="n"/>
      <c r="C102" s="31" t="n"/>
      <c r="D102" s="32">
        <f>IF(B102="","",COUNTIF(Katalog!$C$2:$C$400,B102))</f>
        <v/>
      </c>
    </row>
    <row r="103">
      <c r="A103" s="29" t="n"/>
      <c r="B103" s="30" t="n"/>
      <c r="C103" s="31" t="n"/>
      <c r="D103" s="32">
        <f>IF(B103="","",COUNTIF(Katalog!$C$2:$C$400,B103))</f>
        <v/>
      </c>
    </row>
    <row r="104">
      <c r="A104" s="29" t="n"/>
      <c r="B104" s="30" t="n"/>
      <c r="C104" s="31" t="n"/>
      <c r="D104" s="32">
        <f>IF(B104="","",COUNTIF(Katalog!$C$2:$C$400,B104))</f>
        <v/>
      </c>
    </row>
    <row r="105">
      <c r="A105" s="29" t="n"/>
      <c r="B105" s="30" t="n"/>
      <c r="C105" s="31" t="n"/>
      <c r="D105" s="32">
        <f>IF(B105="","",COUNTIF(Katalog!$C$2:$C$400,B105))</f>
        <v/>
      </c>
    </row>
    <row r="106">
      <c r="A106" s="29" t="n"/>
      <c r="B106" s="30" t="n"/>
      <c r="C106" s="31" t="n"/>
      <c r="D106" s="32">
        <f>IF(B106="","",COUNTIF(Katalog!$C$2:$C$400,B106))</f>
        <v/>
      </c>
    </row>
    <row r="107">
      <c r="A107" s="29" t="n"/>
      <c r="B107" s="30" t="n"/>
      <c r="C107" s="31" t="n"/>
      <c r="D107" s="32">
        <f>IF(B107="","",COUNTIF(Katalog!$C$2:$C$400,B107))</f>
        <v/>
      </c>
    </row>
    <row r="108">
      <c r="A108" s="29" t="n"/>
      <c r="B108" s="30" t="n"/>
      <c r="C108" s="31" t="n"/>
      <c r="D108" s="32">
        <f>IF(B108="","",COUNTIF(Katalog!$C$2:$C$400,B108))</f>
        <v/>
      </c>
    </row>
    <row r="109">
      <c r="A109" s="29" t="n"/>
      <c r="B109" s="30" t="n"/>
      <c r="C109" s="31" t="n"/>
      <c r="D109" s="32">
        <f>IF(B109="","",COUNTIF(Katalog!$C$2:$C$400,B109))</f>
        <v/>
      </c>
    </row>
    <row r="110">
      <c r="A110" s="29" t="n"/>
      <c r="B110" s="30" t="n"/>
      <c r="C110" s="31" t="n"/>
      <c r="D110" s="32">
        <f>IF(B110="","",COUNTIF(Katalog!$C$2:$C$400,B110))</f>
        <v/>
      </c>
    </row>
    <row r="111">
      <c r="A111" s="29" t="n"/>
      <c r="B111" s="30" t="n"/>
      <c r="C111" s="31" t="n"/>
      <c r="D111" s="32">
        <f>IF(B111="","",COUNTIF(Katalog!$C$2:$C$400,B111))</f>
        <v/>
      </c>
    </row>
    <row r="112">
      <c r="A112" s="29" t="n"/>
      <c r="B112" s="30" t="n"/>
      <c r="C112" s="31" t="n"/>
      <c r="D112" s="32">
        <f>IF(B112="","",COUNTIF(Katalog!$C$2:$C$400,B112))</f>
        <v/>
      </c>
    </row>
    <row r="113">
      <c r="A113" s="29" t="n"/>
      <c r="B113" s="30" t="n"/>
      <c r="C113" s="31" t="n"/>
      <c r="D113" s="32">
        <f>IF(B113="","",COUNTIF(Katalog!$C$2:$C$400,B113))</f>
        <v/>
      </c>
    </row>
    <row r="114">
      <c r="A114" s="29" t="n"/>
      <c r="B114" s="30" t="n"/>
      <c r="C114" s="31" t="n"/>
      <c r="D114" s="32">
        <f>IF(B114="","",COUNTIF(Katalog!$C$2:$C$400,B114))</f>
        <v/>
      </c>
    </row>
    <row r="115">
      <c r="A115" s="29" t="n"/>
      <c r="B115" s="30" t="n"/>
      <c r="C115" s="31" t="n"/>
      <c r="D115" s="32">
        <f>IF(B115="","",COUNTIF(Katalog!$C$2:$C$400,B115))</f>
        <v/>
      </c>
    </row>
    <row r="116">
      <c r="A116" s="29" t="n"/>
      <c r="B116" s="30" t="n"/>
      <c r="C116" s="31" t="n"/>
      <c r="D116" s="32">
        <f>IF(B116="","",COUNTIF(Katalog!$C$2:$C$400,B116))</f>
        <v/>
      </c>
    </row>
    <row r="117">
      <c r="A117" s="29" t="n"/>
      <c r="B117" s="30" t="n"/>
      <c r="C117" s="31" t="n"/>
      <c r="D117" s="32">
        <f>IF(B117="","",COUNTIF(Katalog!$C$2:$C$400,B117))</f>
        <v/>
      </c>
    </row>
    <row r="118">
      <c r="A118" s="29" t="n"/>
      <c r="B118" s="30" t="n"/>
      <c r="C118" s="31" t="n"/>
      <c r="D118" s="32">
        <f>IF(B118="","",COUNTIF(Katalog!$C$2:$C$400,B118))</f>
        <v/>
      </c>
    </row>
    <row r="119">
      <c r="A119" s="29" t="n"/>
      <c r="B119" s="30" t="n"/>
      <c r="C119" s="31" t="n"/>
      <c r="D119" s="32">
        <f>IF(B119="","",COUNTIF(Katalog!$C$2:$C$400,B119))</f>
        <v/>
      </c>
    </row>
    <row r="120">
      <c r="A120" s="29" t="n"/>
      <c r="B120" s="30" t="n"/>
      <c r="C120" s="31" t="n"/>
      <c r="D120" s="32">
        <f>IF(B120="","",COUNTIF(Katalog!$C$2:$C$400,B120))</f>
        <v/>
      </c>
    </row>
    <row r="121">
      <c r="A121" s="29" t="n"/>
      <c r="B121" s="30" t="n"/>
      <c r="C121" s="31" t="n"/>
      <c r="D121" s="32">
        <f>IF(B121="","",COUNTIF(Katalog!$C$2:$C$400,B121))</f>
        <v/>
      </c>
    </row>
    <row r="122">
      <c r="A122" s="29" t="n"/>
      <c r="B122" s="30" t="n"/>
      <c r="C122" s="31" t="n"/>
      <c r="D122" s="32">
        <f>IF(B122="","",COUNTIF(Katalog!$C$2:$C$400,B122))</f>
        <v/>
      </c>
    </row>
    <row r="123">
      <c r="A123" s="29" t="n"/>
      <c r="B123" s="30" t="n"/>
      <c r="C123" s="31" t="n"/>
      <c r="D123" s="32">
        <f>IF(B123="","",COUNTIF(Katalog!$C$2:$C$400,B123))</f>
        <v/>
      </c>
    </row>
    <row r="124">
      <c r="A124" s="29" t="n"/>
      <c r="B124" s="30" t="n"/>
      <c r="C124" s="31" t="n"/>
      <c r="D124" s="32">
        <f>IF(B124="","",COUNTIF(Katalog!$C$2:$C$400,B124))</f>
        <v/>
      </c>
    </row>
    <row r="125">
      <c r="A125" s="29" t="n"/>
      <c r="B125" s="30" t="n"/>
      <c r="C125" s="31" t="n"/>
      <c r="D125" s="32">
        <f>IF(B125="","",COUNTIF(Katalog!$C$2:$C$400,B125))</f>
        <v/>
      </c>
    </row>
    <row r="126">
      <c r="A126" s="29" t="n"/>
      <c r="B126" s="30" t="n"/>
      <c r="C126" s="31" t="n"/>
      <c r="D126" s="32">
        <f>IF(B126="","",COUNTIF(Katalog!$C$2:$C$400,B126))</f>
        <v/>
      </c>
    </row>
    <row r="127">
      <c r="A127" s="29" t="n"/>
      <c r="B127" s="30" t="n"/>
      <c r="C127" s="31" t="n"/>
      <c r="D127" s="32">
        <f>IF(B127="","",COUNTIF(Katalog!$C$2:$C$400,B127))</f>
        <v/>
      </c>
    </row>
    <row r="128">
      <c r="A128" s="29" t="n"/>
      <c r="B128" s="30" t="n"/>
      <c r="C128" s="31" t="n"/>
      <c r="D128" s="32">
        <f>IF(B128="","",COUNTIF(Katalog!$C$2:$C$400,B128))</f>
        <v/>
      </c>
    </row>
    <row r="129">
      <c r="A129" s="29" t="n"/>
      <c r="B129" s="30" t="n"/>
      <c r="C129" s="31" t="n"/>
      <c r="D129" s="32">
        <f>IF(B129="","",COUNTIF(Katalog!$C$2:$C$400,B129))</f>
        <v/>
      </c>
    </row>
    <row r="130">
      <c r="A130" s="29" t="n"/>
      <c r="B130" s="30" t="n"/>
      <c r="C130" s="31" t="n"/>
      <c r="D130" s="32">
        <f>IF(B130="","",COUNTIF(Katalog!$C$2:$C$400,B130))</f>
        <v/>
      </c>
    </row>
    <row r="131">
      <c r="A131" s="29" t="n"/>
      <c r="B131" s="30" t="n"/>
      <c r="C131" s="31" t="n"/>
      <c r="D131" s="32">
        <f>IF(B131="","",COUNTIF(Katalog!$C$2:$C$400,B131))</f>
        <v/>
      </c>
    </row>
    <row r="132">
      <c r="A132" s="29" t="n"/>
      <c r="B132" s="30" t="n"/>
      <c r="C132" s="31" t="n"/>
      <c r="D132" s="32">
        <f>IF(B132="","",COUNTIF(Katalog!$C$2:$C$400,B132))</f>
        <v/>
      </c>
    </row>
    <row r="133">
      <c r="A133" s="29" t="n"/>
      <c r="B133" s="30" t="n"/>
      <c r="C133" s="31" t="n"/>
      <c r="D133" s="32">
        <f>IF(B133="","",COUNTIF(Katalog!$C$2:$C$400,B133))</f>
        <v/>
      </c>
    </row>
    <row r="134">
      <c r="A134" s="29" t="n"/>
      <c r="B134" s="30" t="n"/>
      <c r="C134" s="31" t="n"/>
      <c r="D134" s="32">
        <f>IF(B134="","",COUNTIF(Katalog!$C$2:$C$400,B134))</f>
        <v/>
      </c>
    </row>
    <row r="135">
      <c r="A135" s="29" t="n"/>
      <c r="B135" s="30" t="n"/>
      <c r="C135" s="31" t="n"/>
      <c r="D135" s="32">
        <f>IF(B135="","",COUNTIF(Katalog!$C$2:$C$400,B135))</f>
        <v/>
      </c>
    </row>
    <row r="136">
      <c r="A136" s="29" t="n"/>
      <c r="B136" s="30" t="n"/>
      <c r="C136" s="31" t="n"/>
      <c r="D136" s="32">
        <f>IF(B136="","",COUNTIF(Katalog!$C$2:$C$400,B136))</f>
        <v/>
      </c>
    </row>
    <row r="137">
      <c r="A137" s="29" t="n"/>
      <c r="B137" s="30" t="n"/>
      <c r="C137" s="31" t="n"/>
      <c r="D137" s="32">
        <f>IF(B137="","",COUNTIF(Katalog!$C$2:$C$400,B137))</f>
        <v/>
      </c>
    </row>
    <row r="138">
      <c r="A138" s="29" t="n"/>
      <c r="B138" s="30" t="n"/>
      <c r="C138" s="31" t="n"/>
      <c r="D138" s="32">
        <f>IF(B138="","",COUNTIF(Katalog!$C$2:$C$400,B138))</f>
        <v/>
      </c>
    </row>
    <row r="139">
      <c r="A139" s="29" t="n"/>
      <c r="B139" s="30" t="n"/>
      <c r="C139" s="31" t="n"/>
      <c r="D139" s="32">
        <f>IF(B139="","",COUNTIF(Katalog!$C$2:$C$400,B139))</f>
        <v/>
      </c>
    </row>
    <row r="140">
      <c r="A140" s="29" t="n"/>
      <c r="B140" s="30" t="n"/>
      <c r="C140" s="31" t="n"/>
      <c r="D140" s="32">
        <f>IF(B140="","",COUNTIF(Katalog!$C$2:$C$400,B140))</f>
        <v/>
      </c>
    </row>
    <row r="141">
      <c r="A141" s="29" t="n"/>
      <c r="B141" s="30" t="n"/>
      <c r="C141" s="31" t="n"/>
      <c r="D141" s="32">
        <f>IF(B141="","",COUNTIF(Katalog!$C$2:$C$400,B141))</f>
        <v/>
      </c>
    </row>
    <row r="142">
      <c r="A142" s="29" t="n"/>
      <c r="B142" s="30" t="n"/>
      <c r="C142" s="31" t="n"/>
      <c r="D142" s="32">
        <f>IF(B142="","",COUNTIF(Katalog!$C$2:$C$400,B142))</f>
        <v/>
      </c>
    </row>
    <row r="143">
      <c r="A143" s="29" t="n"/>
      <c r="B143" s="30" t="n"/>
      <c r="C143" s="31" t="n"/>
      <c r="D143" s="32">
        <f>IF(B143="","",COUNTIF(Katalog!$C$2:$C$400,B143))</f>
        <v/>
      </c>
    </row>
    <row r="144">
      <c r="A144" s="29" t="n"/>
      <c r="B144" s="30" t="n"/>
      <c r="C144" s="31" t="n"/>
      <c r="D144" s="32">
        <f>IF(B144="","",COUNTIF(Katalog!$C$2:$C$400,B144))</f>
        <v/>
      </c>
    </row>
    <row r="145">
      <c r="A145" s="29" t="n"/>
      <c r="B145" s="30" t="n"/>
      <c r="C145" s="31" t="n"/>
      <c r="D145" s="32">
        <f>IF(B145="","",COUNTIF(Katalog!$C$2:$C$400,B145))</f>
        <v/>
      </c>
    </row>
    <row r="146">
      <c r="A146" s="29" t="n"/>
      <c r="B146" s="30" t="n"/>
      <c r="C146" s="31" t="n"/>
      <c r="D146" s="32">
        <f>IF(B146="","",COUNTIF(Katalog!$C$2:$C$400,B146))</f>
        <v/>
      </c>
    </row>
    <row r="147">
      <c r="A147" s="29" t="n"/>
      <c r="B147" s="30" t="n"/>
      <c r="C147" s="31" t="n"/>
      <c r="D147" s="32">
        <f>IF(B147="","",COUNTIF(Katalog!$C$2:$C$400,B147))</f>
        <v/>
      </c>
    </row>
    <row r="148">
      <c r="A148" s="29" t="n"/>
      <c r="B148" s="30" t="n"/>
      <c r="C148" s="31" t="n"/>
      <c r="D148" s="32">
        <f>IF(B148="","",COUNTIF(Katalog!$C$2:$C$400,B148))</f>
        <v/>
      </c>
    </row>
    <row r="149">
      <c r="A149" s="29" t="n"/>
      <c r="B149" s="30" t="n"/>
      <c r="C149" s="31" t="n"/>
      <c r="D149" s="32">
        <f>IF(B149="","",COUNTIF(Katalog!$C$2:$C$400,B149))</f>
        <v/>
      </c>
    </row>
    <row r="150">
      <c r="A150" s="29" t="n"/>
      <c r="B150" s="30" t="n"/>
      <c r="C150" s="31" t="n"/>
      <c r="D150" s="32">
        <f>IF(B150="","",COUNTIF(Katalog!$C$2:$C$400,B150))</f>
        <v/>
      </c>
    </row>
    <row r="151">
      <c r="A151" s="29" t="n"/>
      <c r="B151" s="30" t="n"/>
      <c r="C151" s="31" t="n"/>
      <c r="D151" s="32">
        <f>IF(B151="","",COUNTIF(Katalog!$C$2:$C$400,B151))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A1:D15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0" customWidth="1" min="4" max="4"/>
    <col width="12" customWidth="1" min="5" max="5"/>
    <col width="26" customWidth="1" min="7" max="7"/>
    <col width="18" customWidth="1" min="8" max="8"/>
    <col width="14" customWidth="1" min="10" max="10"/>
    <col width="26" customWidth="1" min="11" max="11"/>
  </cols>
  <sheetData>
    <row r="1" ht="30" customHeight="1">
      <c r="A1" s="33" t="inlineStr">
        <is>
          <t>Kategori</t>
        </is>
      </c>
      <c r="B1" s="33" t="inlineStr">
        <is>
          <t>Deskripsi Kategori (tampil di web)</t>
        </is>
      </c>
      <c r="D1" s="33" t="inlineStr">
        <is>
          <t>Stok</t>
        </is>
      </c>
      <c r="E1" s="33" t="inlineStr">
        <is>
          <t>Tampil di Web</t>
        </is>
      </c>
      <c r="G1" s="33" t="inlineStr">
        <is>
          <t>Nama "Jenis" di file HPP lama</t>
        </is>
      </c>
      <c r="H1" s="33" t="inlineStr">
        <is>
          <t>Kategori di sini</t>
        </is>
      </c>
      <c r="J1" s="34" t="inlineStr">
        <is>
          <t>Versi data</t>
        </is>
      </c>
      <c r="K1" t="inlineStr">
        <is>
          <t>{{VERSI}}</t>
        </is>
      </c>
    </row>
    <row r="2">
      <c r="A2" s="35" t="n"/>
      <c r="B2" s="35" t="n"/>
      <c r="D2" s="35" t="inlineStr">
        <is>
          <t>Tersedia</t>
        </is>
      </c>
      <c r="E2" s="35" t="inlineStr">
        <is>
          <t>Ya</t>
        </is>
      </c>
      <c r="G2" s="35" t="inlineStr">
        <is>
          <t>Streaming</t>
        </is>
      </c>
      <c r="H2" s="35" t="inlineStr">
        <is>
          <t>Nonton</t>
        </is>
      </c>
      <c r="J2" s="36" t="inlineStr">
        <is>
          <t>Diisi otomatis saat ekspor dari panel admin. Kosong = file awal (tidak dicek).</t>
        </is>
      </c>
    </row>
    <row r="3">
      <c r="A3" s="35" t="n"/>
      <c r="B3" s="35" t="n"/>
      <c r="D3" s="35" t="inlineStr">
        <is>
          <t>Habis</t>
        </is>
      </c>
      <c r="E3" s="35" t="inlineStr">
        <is>
          <t>Tidak</t>
        </is>
      </c>
      <c r="G3" s="35" t="inlineStr">
        <is>
          <t>Music App</t>
        </is>
      </c>
      <c r="H3" s="35" t="inlineStr">
        <is>
          <t>Musik</t>
        </is>
      </c>
    </row>
    <row r="4">
      <c r="A4" s="35" t="n"/>
      <c r="B4" s="35" t="n"/>
      <c r="G4" s="35" t="inlineStr">
        <is>
          <t>Editing Apps</t>
        </is>
      </c>
      <c r="H4" s="35" t="inlineStr">
        <is>
          <t>Editing</t>
        </is>
      </c>
      <c r="J4" s="28" t="inlineStr">
        <is>
          <t>Sheet ini dipakai untuk isi dropdown. Kategori baru ditambahkan di kolom A (sampai baris 20).</t>
        </is>
      </c>
    </row>
    <row r="5">
      <c r="A5" s="35" t="n"/>
      <c r="B5" s="35" t="n"/>
      <c r="G5" s="35" t="inlineStr">
        <is>
          <t>AI Things</t>
        </is>
      </c>
      <c r="H5" s="35" t="inlineStr">
        <is>
          <t>AI</t>
        </is>
      </c>
      <c r="J5" s="28" t="inlineStr">
        <is>
          <t>Pembaca impor juga mengerti nama "Jenis" dari file HPP lama (kolom G), jadi file lama tetap bisa diunggah.</t>
        </is>
      </c>
    </row>
    <row r="6">
      <c r="A6" s="35" t="n"/>
      <c r="B6" s="35" t="n"/>
      <c r="G6" s="35" t="inlineStr">
        <is>
          <t>Educational Apps</t>
        </is>
      </c>
      <c r="H6" s="35" t="inlineStr">
        <is>
          <t>Edukasi</t>
        </is>
      </c>
    </row>
    <row r="7">
      <c r="A7" s="35" t="n"/>
      <c r="B7" s="35" t="n"/>
      <c r="G7" s="35" t="inlineStr">
        <is>
          <t>Miscellaneous</t>
        </is>
      </c>
      <c r="H7" s="35" t="inlineStr">
        <is>
          <t>Lainnya</t>
        </is>
      </c>
    </row>
    <row r="8">
      <c r="A8" s="35" t="n"/>
      <c r="B8" s="35" t="n"/>
    </row>
    <row r="9">
      <c r="A9" s="35" t="n"/>
      <c r="B9" s="35" t="n"/>
    </row>
    <row r="10">
      <c r="A10" s="35" t="n"/>
      <c r="B10" s="35" t="n"/>
    </row>
    <row r="11">
      <c r="A11" s="35" t="n"/>
      <c r="B11" s="35" t="n"/>
    </row>
    <row r="12">
      <c r="A12" s="35" t="n"/>
      <c r="B12" s="35" t="n"/>
    </row>
    <row r="13">
      <c r="A13" s="35" t="n"/>
      <c r="B13" s="35" t="n"/>
    </row>
    <row r="14">
      <c r="A14" s="35" t="n"/>
      <c r="B14" s="35" t="n"/>
    </row>
    <row r="15">
      <c r="A15" s="35" t="n"/>
      <c r="B15" s="35" t="n"/>
    </row>
    <row r="16">
      <c r="A16" s="35" t="n"/>
      <c r="B16" s="35" t="n"/>
    </row>
    <row r="17">
      <c r="A17" s="35" t="n"/>
      <c r="B17" s="35" t="n"/>
    </row>
    <row r="18">
      <c r="A18" s="35" t="n"/>
      <c r="B18" s="35" t="n"/>
    </row>
    <row r="19">
      <c r="A19" s="35" t="n"/>
      <c r="B19" s="35" t="n"/>
    </row>
    <row r="20">
      <c r="A20" s="35" t="n"/>
      <c r="B20" s="3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2026-10-30T22:19:15Z</dcterms:created>
  <dcterms:modified xmlns:dcterms="http://purl.org/dc/terms/" xmlns:xsi="http://www.w3.org/2001/XMLSchema-instance" xsi:type="dcterms:W3CDTF">2026-10-30T22:19:15Z</dcterms:modified>
</cp:coreProperties>
</file>